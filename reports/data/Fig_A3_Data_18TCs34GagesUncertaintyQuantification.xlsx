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Y2022\Dr. Shubhra\Amite_TZ_uncertainty\Uncertainty_Analysis_forPurdue\TCs numerical model uncertainty for Gage data and HWMs\"/>
    </mc:Choice>
  </mc:AlternateContent>
  <xr:revisionPtr revIDLastSave="0" documentId="13_ncr:1_{0B4930EA-E856-4198-B739-66FABD656637}" xr6:coauthVersionLast="47" xr6:coauthVersionMax="47" xr10:uidLastSave="{00000000-0000-0000-0000-000000000000}"/>
  <bookViews>
    <workbookView xWindow="-110" yWindow="-110" windowWidth="19420" windowHeight="11620" activeTab="3" xr2:uid="{B77D88EB-5D37-4988-A8CF-D8BA5231AB34}"/>
  </bookViews>
  <sheets>
    <sheet name="GageUnc" sheetId="1" r:id="rId1"/>
    <sheet name="Plot" sheetId="2" r:id="rId2"/>
    <sheet name="HWMsUnc" sheetId="3" r:id="rId3"/>
    <sheet name="Combined" sheetId="4" r:id="rId4"/>
  </sheets>
  <definedNames>
    <definedName name="_xlnm._FilterDatabase" localSheetId="0" hidden="1">GageUnc!$A$1:$I$418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N4" i="3"/>
  <c r="N5" i="3"/>
  <c r="N6" i="3"/>
  <c r="N7" i="3"/>
  <c r="N8" i="3"/>
  <c r="N9" i="3"/>
  <c r="N10" i="3"/>
  <c r="N11" i="3"/>
  <c r="N12" i="3"/>
  <c r="N2" i="3"/>
  <c r="N1" i="3"/>
  <c r="M3" i="3"/>
  <c r="M4" i="3"/>
  <c r="M5" i="3"/>
  <c r="M6" i="3"/>
  <c r="M7" i="3"/>
  <c r="M8" i="3"/>
  <c r="M9" i="3"/>
  <c r="M10" i="3"/>
  <c r="M11" i="3"/>
  <c r="M12" i="3"/>
  <c r="M2" i="3"/>
  <c r="M1" i="3"/>
  <c r="I2" i="3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2" i="1"/>
  <c r="O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N1" i="1"/>
  <c r="J2" i="1"/>
  <c r="I2" i="4"/>
  <c r="N50" i="4" s="1"/>
  <c r="H9" i="4"/>
  <c r="H2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G418" i="4"/>
  <c r="F418" i="4"/>
  <c r="F417" i="4"/>
  <c r="G417" i="4" s="1"/>
  <c r="G416" i="4"/>
  <c r="F416" i="4"/>
  <c r="F415" i="4"/>
  <c r="G415" i="4" s="1"/>
  <c r="G414" i="4"/>
  <c r="F414" i="4"/>
  <c r="F413" i="4"/>
  <c r="G413" i="4" s="1"/>
  <c r="G412" i="4"/>
  <c r="F412" i="4"/>
  <c r="F411" i="4"/>
  <c r="G411" i="4" s="1"/>
  <c r="G410" i="4"/>
  <c r="F410" i="4"/>
  <c r="F409" i="4"/>
  <c r="G409" i="4" s="1"/>
  <c r="G408" i="4"/>
  <c r="F408" i="4"/>
  <c r="F407" i="4"/>
  <c r="G407" i="4" s="1"/>
  <c r="G406" i="4"/>
  <c r="F406" i="4"/>
  <c r="F405" i="4"/>
  <c r="G405" i="4" s="1"/>
  <c r="G404" i="4"/>
  <c r="F404" i="4"/>
  <c r="F403" i="4"/>
  <c r="G403" i="4" s="1"/>
  <c r="G402" i="4"/>
  <c r="F402" i="4"/>
  <c r="F401" i="4"/>
  <c r="G401" i="4" s="1"/>
  <c r="G400" i="4"/>
  <c r="F400" i="4"/>
  <c r="F399" i="4"/>
  <c r="G399" i="4" s="1"/>
  <c r="G398" i="4"/>
  <c r="F398" i="4"/>
  <c r="F397" i="4"/>
  <c r="G397" i="4" s="1"/>
  <c r="G396" i="4"/>
  <c r="F396" i="4"/>
  <c r="F395" i="4"/>
  <c r="G395" i="4" s="1"/>
  <c r="G394" i="4"/>
  <c r="F394" i="4"/>
  <c r="F393" i="4"/>
  <c r="G393" i="4" s="1"/>
  <c r="G392" i="4"/>
  <c r="F392" i="4"/>
  <c r="F391" i="4"/>
  <c r="G391" i="4" s="1"/>
  <c r="G390" i="4"/>
  <c r="F390" i="4"/>
  <c r="F389" i="4"/>
  <c r="G389" i="4" s="1"/>
  <c r="G388" i="4"/>
  <c r="F388" i="4"/>
  <c r="F387" i="4"/>
  <c r="G387" i="4" s="1"/>
  <c r="G386" i="4"/>
  <c r="F386" i="4"/>
  <c r="F385" i="4"/>
  <c r="G385" i="4" s="1"/>
  <c r="G384" i="4"/>
  <c r="F384" i="4"/>
  <c r="F383" i="4"/>
  <c r="G383" i="4" s="1"/>
  <c r="G382" i="4"/>
  <c r="F382" i="4"/>
  <c r="F381" i="4"/>
  <c r="G381" i="4" s="1"/>
  <c r="G380" i="4"/>
  <c r="F380" i="4"/>
  <c r="F379" i="4"/>
  <c r="G379" i="4" s="1"/>
  <c r="G378" i="4"/>
  <c r="F378" i="4"/>
  <c r="F377" i="4"/>
  <c r="G377" i="4" s="1"/>
  <c r="G376" i="4"/>
  <c r="F376" i="4"/>
  <c r="F375" i="4"/>
  <c r="G375" i="4" s="1"/>
  <c r="G374" i="4"/>
  <c r="F374" i="4"/>
  <c r="F373" i="4"/>
  <c r="G373" i="4" s="1"/>
  <c r="G372" i="4"/>
  <c r="F372" i="4"/>
  <c r="F371" i="4"/>
  <c r="G371" i="4" s="1"/>
  <c r="G370" i="4"/>
  <c r="F370" i="4"/>
  <c r="F369" i="4"/>
  <c r="G369" i="4" s="1"/>
  <c r="G368" i="4"/>
  <c r="F368" i="4"/>
  <c r="F367" i="4"/>
  <c r="G367" i="4" s="1"/>
  <c r="G366" i="4"/>
  <c r="F366" i="4"/>
  <c r="F365" i="4"/>
  <c r="G365" i="4" s="1"/>
  <c r="G364" i="4"/>
  <c r="F364" i="4"/>
  <c r="F363" i="4"/>
  <c r="G363" i="4" s="1"/>
  <c r="G362" i="4"/>
  <c r="F362" i="4"/>
  <c r="F361" i="4"/>
  <c r="G361" i="4" s="1"/>
  <c r="F360" i="4"/>
  <c r="G360" i="4" s="1"/>
  <c r="F359" i="4"/>
  <c r="G359" i="4" s="1"/>
  <c r="G358" i="4"/>
  <c r="F358" i="4"/>
  <c r="F357" i="4"/>
  <c r="G357" i="4" s="1"/>
  <c r="G356" i="4"/>
  <c r="F356" i="4"/>
  <c r="F355" i="4"/>
  <c r="G355" i="4" s="1"/>
  <c r="G354" i="4"/>
  <c r="F354" i="4"/>
  <c r="F353" i="4"/>
  <c r="G353" i="4" s="1"/>
  <c r="G352" i="4"/>
  <c r="F352" i="4"/>
  <c r="F351" i="4"/>
  <c r="G351" i="4" s="1"/>
  <c r="G350" i="4"/>
  <c r="F350" i="4"/>
  <c r="F349" i="4"/>
  <c r="G349" i="4" s="1"/>
  <c r="F348" i="4"/>
  <c r="G348" i="4" s="1"/>
  <c r="F347" i="4"/>
  <c r="G347" i="4" s="1"/>
  <c r="G346" i="4"/>
  <c r="F346" i="4"/>
  <c r="F345" i="4"/>
  <c r="G345" i="4" s="1"/>
  <c r="F344" i="4"/>
  <c r="G344" i="4" s="1"/>
  <c r="F343" i="4"/>
  <c r="G343" i="4" s="1"/>
  <c r="G342" i="4"/>
  <c r="F342" i="4"/>
  <c r="F341" i="4"/>
  <c r="G341" i="4" s="1"/>
  <c r="F340" i="4"/>
  <c r="G340" i="4" s="1"/>
  <c r="F339" i="4"/>
  <c r="G339" i="4" s="1"/>
  <c r="G338" i="4"/>
  <c r="F338" i="4"/>
  <c r="F337" i="4"/>
  <c r="G337" i="4" s="1"/>
  <c r="F336" i="4"/>
  <c r="G336" i="4" s="1"/>
  <c r="F335" i="4"/>
  <c r="G335" i="4" s="1"/>
  <c r="F334" i="4"/>
  <c r="G334" i="4" s="1"/>
  <c r="F333" i="4"/>
  <c r="G333" i="4" s="1"/>
  <c r="F332" i="4"/>
  <c r="G332" i="4" s="1"/>
  <c r="F331" i="4"/>
  <c r="G331" i="4" s="1"/>
  <c r="G330" i="4"/>
  <c r="F330" i="4"/>
  <c r="F329" i="4"/>
  <c r="G329" i="4" s="1"/>
  <c r="F328" i="4"/>
  <c r="G328" i="4" s="1"/>
  <c r="F327" i="4"/>
  <c r="G327" i="4" s="1"/>
  <c r="F326" i="4"/>
  <c r="G326" i="4" s="1"/>
  <c r="F325" i="4"/>
  <c r="G325" i="4" s="1"/>
  <c r="F324" i="4"/>
  <c r="G324" i="4" s="1"/>
  <c r="F323" i="4"/>
  <c r="G323" i="4" s="1"/>
  <c r="G322" i="4"/>
  <c r="F322" i="4"/>
  <c r="F321" i="4"/>
  <c r="G321" i="4" s="1"/>
  <c r="F320" i="4"/>
  <c r="G320" i="4" s="1"/>
  <c r="F319" i="4"/>
  <c r="G319" i="4" s="1"/>
  <c r="F318" i="4"/>
  <c r="G318" i="4" s="1"/>
  <c r="F317" i="4"/>
  <c r="G317" i="4" s="1"/>
  <c r="F316" i="4"/>
  <c r="G316" i="4" s="1"/>
  <c r="F315" i="4"/>
  <c r="G315" i="4" s="1"/>
  <c r="G314" i="4"/>
  <c r="F314" i="4"/>
  <c r="F313" i="4"/>
  <c r="G313" i="4" s="1"/>
  <c r="F312" i="4"/>
  <c r="G312" i="4" s="1"/>
  <c r="F311" i="4"/>
  <c r="G311" i="4" s="1"/>
  <c r="F310" i="4"/>
  <c r="G310" i="4" s="1"/>
  <c r="F309" i="4"/>
  <c r="G309" i="4" s="1"/>
  <c r="F308" i="4"/>
  <c r="G308" i="4" s="1"/>
  <c r="F307" i="4"/>
  <c r="G307" i="4" s="1"/>
  <c r="F306" i="4"/>
  <c r="G306" i="4" s="1"/>
  <c r="F305" i="4"/>
  <c r="G305" i="4" s="1"/>
  <c r="F304" i="4"/>
  <c r="G304" i="4" s="1"/>
  <c r="F303" i="4"/>
  <c r="G303" i="4" s="1"/>
  <c r="F302" i="4"/>
  <c r="G302" i="4" s="1"/>
  <c r="F301" i="4"/>
  <c r="G301" i="4" s="1"/>
  <c r="F300" i="4"/>
  <c r="G300" i="4" s="1"/>
  <c r="F299" i="4"/>
  <c r="G299" i="4" s="1"/>
  <c r="G298" i="4"/>
  <c r="F298" i="4"/>
  <c r="F297" i="4"/>
  <c r="G297" i="4" s="1"/>
  <c r="F296" i="4"/>
  <c r="G296" i="4" s="1"/>
  <c r="F295" i="4"/>
  <c r="G295" i="4" s="1"/>
  <c r="F294" i="4"/>
  <c r="G294" i="4" s="1"/>
  <c r="F293" i="4"/>
  <c r="G293" i="4" s="1"/>
  <c r="F292" i="4"/>
  <c r="G292" i="4" s="1"/>
  <c r="F291" i="4"/>
  <c r="G291" i="4" s="1"/>
  <c r="G290" i="4"/>
  <c r="F290" i="4"/>
  <c r="F289" i="4"/>
  <c r="G289" i="4" s="1"/>
  <c r="F288" i="4"/>
  <c r="G288" i="4" s="1"/>
  <c r="F287" i="4"/>
  <c r="G287" i="4" s="1"/>
  <c r="F286" i="4"/>
  <c r="G286" i="4" s="1"/>
  <c r="F285" i="4"/>
  <c r="G285" i="4" s="1"/>
  <c r="F284" i="4"/>
  <c r="G284" i="4" s="1"/>
  <c r="F283" i="4"/>
  <c r="G283" i="4" s="1"/>
  <c r="G282" i="4"/>
  <c r="F282" i="4"/>
  <c r="F281" i="4"/>
  <c r="G281" i="4" s="1"/>
  <c r="F280" i="4"/>
  <c r="G280" i="4" s="1"/>
  <c r="F279" i="4"/>
  <c r="G279" i="4" s="1"/>
  <c r="F278" i="4"/>
  <c r="G278" i="4" s="1"/>
  <c r="F277" i="4"/>
  <c r="G277" i="4" s="1"/>
  <c r="F276" i="4"/>
  <c r="G276" i="4" s="1"/>
  <c r="F275" i="4"/>
  <c r="G275" i="4" s="1"/>
  <c r="G274" i="4"/>
  <c r="F274" i="4"/>
  <c r="F273" i="4"/>
  <c r="G273" i="4" s="1"/>
  <c r="F272" i="4"/>
  <c r="G272" i="4" s="1"/>
  <c r="F271" i="4"/>
  <c r="G271" i="4" s="1"/>
  <c r="F270" i="4"/>
  <c r="G270" i="4" s="1"/>
  <c r="F269" i="4"/>
  <c r="G269" i="4" s="1"/>
  <c r="F268" i="4"/>
  <c r="G268" i="4" s="1"/>
  <c r="F267" i="4"/>
  <c r="G267" i="4" s="1"/>
  <c r="G266" i="4"/>
  <c r="F266" i="4"/>
  <c r="F265" i="4"/>
  <c r="G265" i="4" s="1"/>
  <c r="F264" i="4"/>
  <c r="G264" i="4" s="1"/>
  <c r="F263" i="4"/>
  <c r="G263" i="4" s="1"/>
  <c r="F262" i="4"/>
  <c r="G262" i="4" s="1"/>
  <c r="F261" i="4"/>
  <c r="G261" i="4" s="1"/>
  <c r="F260" i="4"/>
  <c r="G260" i="4" s="1"/>
  <c r="F259" i="4"/>
  <c r="G259" i="4" s="1"/>
  <c r="G258" i="4"/>
  <c r="F258" i="4"/>
  <c r="F257" i="4"/>
  <c r="G257" i="4" s="1"/>
  <c r="F256" i="4"/>
  <c r="G256" i="4" s="1"/>
  <c r="F255" i="4"/>
  <c r="G255" i="4" s="1"/>
  <c r="F254" i="4"/>
  <c r="G254" i="4" s="1"/>
  <c r="F253" i="4"/>
  <c r="G253" i="4" s="1"/>
  <c r="F252" i="4"/>
  <c r="G252" i="4" s="1"/>
  <c r="F251" i="4"/>
  <c r="G251" i="4" s="1"/>
  <c r="G250" i="4"/>
  <c r="F250" i="4"/>
  <c r="F249" i="4"/>
  <c r="G249" i="4" s="1"/>
  <c r="F248" i="4"/>
  <c r="G248" i="4" s="1"/>
  <c r="F247" i="4"/>
  <c r="G247" i="4" s="1"/>
  <c r="F246" i="4"/>
  <c r="G246" i="4" s="1"/>
  <c r="F245" i="4"/>
  <c r="G245" i="4" s="1"/>
  <c r="F244" i="4"/>
  <c r="G244" i="4" s="1"/>
  <c r="F243" i="4"/>
  <c r="G243" i="4" s="1"/>
  <c r="G242" i="4"/>
  <c r="F242" i="4"/>
  <c r="G241" i="4"/>
  <c r="F241" i="4"/>
  <c r="F240" i="4"/>
  <c r="G240" i="4" s="1"/>
  <c r="F239" i="4"/>
  <c r="G239" i="4" s="1"/>
  <c r="G238" i="4"/>
  <c r="F238" i="4"/>
  <c r="G237" i="4"/>
  <c r="F237" i="4"/>
  <c r="F236" i="4"/>
  <c r="G236" i="4" s="1"/>
  <c r="F235" i="4"/>
  <c r="G235" i="4" s="1"/>
  <c r="G234" i="4"/>
  <c r="F234" i="4"/>
  <c r="G233" i="4"/>
  <c r="F233" i="4"/>
  <c r="F232" i="4"/>
  <c r="G232" i="4" s="1"/>
  <c r="F231" i="4"/>
  <c r="G231" i="4" s="1"/>
  <c r="G230" i="4"/>
  <c r="F230" i="4"/>
  <c r="G229" i="4"/>
  <c r="F229" i="4"/>
  <c r="F228" i="4"/>
  <c r="G228" i="4" s="1"/>
  <c r="F227" i="4"/>
  <c r="G227" i="4" s="1"/>
  <c r="G226" i="4"/>
  <c r="F226" i="4"/>
  <c r="G225" i="4"/>
  <c r="F225" i="4"/>
  <c r="F224" i="4"/>
  <c r="G224" i="4" s="1"/>
  <c r="F223" i="4"/>
  <c r="G223" i="4" s="1"/>
  <c r="G222" i="4"/>
  <c r="F222" i="4"/>
  <c r="G221" i="4"/>
  <c r="F221" i="4"/>
  <c r="F220" i="4"/>
  <c r="G220" i="4" s="1"/>
  <c r="F219" i="4"/>
  <c r="G219" i="4" s="1"/>
  <c r="G218" i="4"/>
  <c r="F218" i="4"/>
  <c r="G217" i="4"/>
  <c r="F217" i="4"/>
  <c r="F216" i="4"/>
  <c r="G216" i="4" s="1"/>
  <c r="F215" i="4"/>
  <c r="G215" i="4" s="1"/>
  <c r="F214" i="4"/>
  <c r="G214" i="4" s="1"/>
  <c r="G213" i="4"/>
  <c r="F213" i="4"/>
  <c r="F212" i="4"/>
  <c r="G212" i="4" s="1"/>
  <c r="F211" i="4"/>
  <c r="G211" i="4" s="1"/>
  <c r="G210" i="4"/>
  <c r="F210" i="4"/>
  <c r="F209" i="4"/>
  <c r="G209" i="4" s="1"/>
  <c r="F208" i="4"/>
  <c r="G208" i="4" s="1"/>
  <c r="F207" i="4"/>
  <c r="G207" i="4" s="1"/>
  <c r="G206" i="4"/>
  <c r="F206" i="4"/>
  <c r="G205" i="4"/>
  <c r="F205" i="4"/>
  <c r="F204" i="4"/>
  <c r="G204" i="4" s="1"/>
  <c r="F203" i="4"/>
  <c r="G203" i="4" s="1"/>
  <c r="G202" i="4"/>
  <c r="F202" i="4"/>
  <c r="G201" i="4"/>
  <c r="F201" i="4"/>
  <c r="F200" i="4"/>
  <c r="G200" i="4" s="1"/>
  <c r="F199" i="4"/>
  <c r="G199" i="4" s="1"/>
  <c r="F198" i="4"/>
  <c r="G198" i="4" s="1"/>
  <c r="G197" i="4"/>
  <c r="F197" i="4"/>
  <c r="F196" i="4"/>
  <c r="G196" i="4" s="1"/>
  <c r="F195" i="4"/>
  <c r="G195" i="4" s="1"/>
  <c r="G194" i="4"/>
  <c r="F194" i="4"/>
  <c r="F193" i="4"/>
  <c r="G193" i="4" s="1"/>
  <c r="F192" i="4"/>
  <c r="G192" i="4" s="1"/>
  <c r="F191" i="4"/>
  <c r="G191" i="4" s="1"/>
  <c r="G190" i="4"/>
  <c r="F190" i="4"/>
  <c r="G189" i="4"/>
  <c r="F189" i="4"/>
  <c r="F188" i="4"/>
  <c r="G188" i="4" s="1"/>
  <c r="F187" i="4"/>
  <c r="G187" i="4" s="1"/>
  <c r="G186" i="4"/>
  <c r="F186" i="4"/>
  <c r="G185" i="4"/>
  <c r="F185" i="4"/>
  <c r="F184" i="4"/>
  <c r="G184" i="4" s="1"/>
  <c r="F183" i="4"/>
  <c r="G183" i="4" s="1"/>
  <c r="F182" i="4"/>
  <c r="G182" i="4" s="1"/>
  <c r="G181" i="4"/>
  <c r="F181" i="4"/>
  <c r="F180" i="4"/>
  <c r="G180" i="4" s="1"/>
  <c r="F179" i="4"/>
  <c r="G179" i="4" s="1"/>
  <c r="F178" i="4"/>
  <c r="G178" i="4" s="1"/>
  <c r="F177" i="4"/>
  <c r="G177" i="4" s="1"/>
  <c r="F176" i="4"/>
  <c r="G176" i="4" s="1"/>
  <c r="F175" i="4"/>
  <c r="G175" i="4" s="1"/>
  <c r="G174" i="4"/>
  <c r="F174" i="4"/>
  <c r="G173" i="4"/>
  <c r="F173" i="4"/>
  <c r="F172" i="4"/>
  <c r="G172" i="4" s="1"/>
  <c r="F171" i="4"/>
  <c r="G171" i="4" s="1"/>
  <c r="G170" i="4"/>
  <c r="F170" i="4"/>
  <c r="G169" i="4"/>
  <c r="F169" i="4"/>
  <c r="F168" i="4"/>
  <c r="G168" i="4" s="1"/>
  <c r="F167" i="4"/>
  <c r="G167" i="4" s="1"/>
  <c r="F166" i="4"/>
  <c r="G166" i="4" s="1"/>
  <c r="G165" i="4"/>
  <c r="F165" i="4"/>
  <c r="F164" i="4"/>
  <c r="G164" i="4" s="1"/>
  <c r="F163" i="4"/>
  <c r="G163" i="4" s="1"/>
  <c r="F162" i="4"/>
  <c r="G162" i="4" s="1"/>
  <c r="F161" i="4"/>
  <c r="G161" i="4" s="1"/>
  <c r="F160" i="4"/>
  <c r="G160" i="4" s="1"/>
  <c r="F159" i="4"/>
  <c r="G159" i="4" s="1"/>
  <c r="G158" i="4"/>
  <c r="F158" i="4"/>
  <c r="F157" i="4"/>
  <c r="G157" i="4" s="1"/>
  <c r="F156" i="4"/>
  <c r="G156" i="4" s="1"/>
  <c r="F155" i="4"/>
  <c r="G155" i="4" s="1"/>
  <c r="F154" i="4"/>
  <c r="G154" i="4" s="1"/>
  <c r="F153" i="4"/>
  <c r="G153" i="4" s="1"/>
  <c r="F152" i="4"/>
  <c r="G152" i="4" s="1"/>
  <c r="F151" i="4"/>
  <c r="G151" i="4" s="1"/>
  <c r="G150" i="4"/>
  <c r="F150" i="4"/>
  <c r="G149" i="4"/>
  <c r="F149" i="4"/>
  <c r="G148" i="4"/>
  <c r="F148" i="4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G141" i="4"/>
  <c r="F141" i="4"/>
  <c r="G140" i="4"/>
  <c r="F140" i="4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G132" i="4"/>
  <c r="F132" i="4"/>
  <c r="F131" i="4"/>
  <c r="G131" i="4" s="1"/>
  <c r="F130" i="4"/>
  <c r="G130" i="4" s="1"/>
  <c r="G129" i="4"/>
  <c r="F129" i="4"/>
  <c r="F128" i="4"/>
  <c r="G128" i="4" s="1"/>
  <c r="F127" i="4"/>
  <c r="G127" i="4" s="1"/>
  <c r="G126" i="4"/>
  <c r="F126" i="4"/>
  <c r="F125" i="4"/>
  <c r="G125" i="4" s="1"/>
  <c r="F124" i="4"/>
  <c r="G124" i="4" s="1"/>
  <c r="F123" i="4"/>
  <c r="G123" i="4" s="1"/>
  <c r="F122" i="4"/>
  <c r="G122" i="4" s="1"/>
  <c r="F121" i="4"/>
  <c r="G121" i="4" s="1"/>
  <c r="G120" i="4"/>
  <c r="F120" i="4"/>
  <c r="F119" i="4"/>
  <c r="G119" i="4" s="1"/>
  <c r="G118" i="4"/>
  <c r="F118" i="4"/>
  <c r="G117" i="4"/>
  <c r="F117" i="4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G109" i="4"/>
  <c r="F109" i="4"/>
  <c r="G108" i="4"/>
  <c r="F108" i="4"/>
  <c r="F107" i="4"/>
  <c r="G107" i="4" s="1"/>
  <c r="G106" i="4"/>
  <c r="F106" i="4"/>
  <c r="F105" i="4"/>
  <c r="G105" i="4" s="1"/>
  <c r="F104" i="4"/>
  <c r="G104" i="4" s="1"/>
  <c r="F103" i="4"/>
  <c r="G103" i="4" s="1"/>
  <c r="F102" i="4"/>
  <c r="G102" i="4" s="1"/>
  <c r="F101" i="4"/>
  <c r="G101" i="4" s="1"/>
  <c r="G100" i="4"/>
  <c r="F100" i="4"/>
  <c r="F99" i="4"/>
  <c r="G99" i="4" s="1"/>
  <c r="F98" i="4"/>
  <c r="G98" i="4" s="1"/>
  <c r="G97" i="4"/>
  <c r="F97" i="4"/>
  <c r="F96" i="4"/>
  <c r="G96" i="4" s="1"/>
  <c r="F95" i="4"/>
  <c r="G95" i="4" s="1"/>
  <c r="G94" i="4"/>
  <c r="F94" i="4"/>
  <c r="F93" i="4"/>
  <c r="G93" i="4" s="1"/>
  <c r="F92" i="4"/>
  <c r="G92" i="4" s="1"/>
  <c r="F91" i="4"/>
  <c r="G91" i="4" s="1"/>
  <c r="F90" i="4"/>
  <c r="G90" i="4" s="1"/>
  <c r="F89" i="4"/>
  <c r="G89" i="4" s="1"/>
  <c r="G88" i="4"/>
  <c r="F88" i="4"/>
  <c r="F87" i="4"/>
  <c r="G87" i="4" s="1"/>
  <c r="G86" i="4"/>
  <c r="F86" i="4"/>
  <c r="G85" i="4"/>
  <c r="F85" i="4"/>
  <c r="F84" i="4"/>
  <c r="G84" i="4" s="1"/>
  <c r="F83" i="4"/>
  <c r="G83" i="4" s="1"/>
  <c r="F82" i="4"/>
  <c r="G82" i="4" s="1"/>
  <c r="F81" i="4"/>
  <c r="G81" i="4" s="1"/>
  <c r="F80" i="4"/>
  <c r="G80" i="4" s="1"/>
  <c r="F79" i="4"/>
  <c r="G79" i="4" s="1"/>
  <c r="F78" i="4"/>
  <c r="G78" i="4" s="1"/>
  <c r="G77" i="4"/>
  <c r="F77" i="4"/>
  <c r="G76" i="4"/>
  <c r="F76" i="4"/>
  <c r="F75" i="4"/>
  <c r="G75" i="4" s="1"/>
  <c r="F74" i="4"/>
  <c r="G74" i="4" s="1"/>
  <c r="G73" i="4"/>
  <c r="F73" i="4"/>
  <c r="G72" i="4"/>
  <c r="F72" i="4"/>
  <c r="F71" i="4"/>
  <c r="G71" i="4" s="1"/>
  <c r="F70" i="4"/>
  <c r="G70" i="4" s="1"/>
  <c r="G69" i="4"/>
  <c r="F69" i="4"/>
  <c r="G68" i="4"/>
  <c r="F68" i="4"/>
  <c r="F67" i="4"/>
  <c r="G67" i="4" s="1"/>
  <c r="F66" i="4"/>
  <c r="G66" i="4" s="1"/>
  <c r="G65" i="4"/>
  <c r="F65" i="4"/>
  <c r="G64" i="4"/>
  <c r="F64" i="4"/>
  <c r="F63" i="4"/>
  <c r="G63" i="4" s="1"/>
  <c r="F62" i="4"/>
  <c r="G62" i="4" s="1"/>
  <c r="G61" i="4"/>
  <c r="F61" i="4"/>
  <c r="G60" i="4"/>
  <c r="F60" i="4"/>
  <c r="F59" i="4"/>
  <c r="G59" i="4" s="1"/>
  <c r="F58" i="4"/>
  <c r="G58" i="4" s="1"/>
  <c r="G57" i="4"/>
  <c r="F57" i="4"/>
  <c r="G56" i="4"/>
  <c r="F56" i="4"/>
  <c r="F55" i="4"/>
  <c r="G55" i="4" s="1"/>
  <c r="F54" i="4"/>
  <c r="G54" i="4" s="1"/>
  <c r="G53" i="4"/>
  <c r="F53" i="4"/>
  <c r="G52" i="4"/>
  <c r="F52" i="4"/>
  <c r="F51" i="4"/>
  <c r="G51" i="4" s="1"/>
  <c r="O50" i="4"/>
  <c r="G50" i="4"/>
  <c r="F50" i="4"/>
  <c r="F49" i="4"/>
  <c r="G49" i="4" s="1"/>
  <c r="G48" i="4"/>
  <c r="F48" i="4"/>
  <c r="F47" i="4"/>
  <c r="G47" i="4" s="1"/>
  <c r="O46" i="4"/>
  <c r="G46" i="4"/>
  <c r="F46" i="4"/>
  <c r="F45" i="4"/>
  <c r="G45" i="4" s="1"/>
  <c r="G44" i="4"/>
  <c r="F44" i="4"/>
  <c r="F43" i="4"/>
  <c r="G43" i="4" s="1"/>
  <c r="O42" i="4"/>
  <c r="G42" i="4"/>
  <c r="F42" i="4"/>
  <c r="F41" i="4"/>
  <c r="G41" i="4" s="1"/>
  <c r="G40" i="4"/>
  <c r="F40" i="4"/>
  <c r="F39" i="4"/>
  <c r="G39" i="4" s="1"/>
  <c r="O38" i="4"/>
  <c r="G38" i="4"/>
  <c r="F38" i="4"/>
  <c r="F37" i="4"/>
  <c r="G37" i="4" s="1"/>
  <c r="G36" i="4"/>
  <c r="F36" i="4"/>
  <c r="F35" i="4"/>
  <c r="G35" i="4" s="1"/>
  <c r="O34" i="4"/>
  <c r="G34" i="4"/>
  <c r="F34" i="4"/>
  <c r="F33" i="4"/>
  <c r="G33" i="4" s="1"/>
  <c r="G32" i="4"/>
  <c r="F32" i="4"/>
  <c r="F31" i="4"/>
  <c r="G31" i="4" s="1"/>
  <c r="O30" i="4"/>
  <c r="G30" i="4"/>
  <c r="F30" i="4"/>
  <c r="F29" i="4"/>
  <c r="G29" i="4" s="1"/>
  <c r="G28" i="4"/>
  <c r="F28" i="4"/>
  <c r="F27" i="4"/>
  <c r="G27" i="4" s="1"/>
  <c r="O26" i="4"/>
  <c r="G26" i="4"/>
  <c r="F26" i="4"/>
  <c r="F25" i="4"/>
  <c r="G25" i="4" s="1"/>
  <c r="G24" i="4"/>
  <c r="F24" i="4"/>
  <c r="F23" i="4"/>
  <c r="G23" i="4" s="1"/>
  <c r="O22" i="4"/>
  <c r="G22" i="4"/>
  <c r="F22" i="4"/>
  <c r="F21" i="4"/>
  <c r="G21" i="4" s="1"/>
  <c r="O20" i="4"/>
  <c r="G20" i="4"/>
  <c r="F20" i="4"/>
  <c r="F19" i="4"/>
  <c r="G19" i="4" s="1"/>
  <c r="O18" i="4"/>
  <c r="G18" i="4"/>
  <c r="F18" i="4"/>
  <c r="F17" i="4"/>
  <c r="G17" i="4" s="1"/>
  <c r="O16" i="4"/>
  <c r="G16" i="4"/>
  <c r="F16" i="4"/>
  <c r="F15" i="4"/>
  <c r="G15" i="4" s="1"/>
  <c r="O14" i="4"/>
  <c r="G14" i="4"/>
  <c r="F14" i="4"/>
  <c r="F13" i="4"/>
  <c r="G13" i="4" s="1"/>
  <c r="O12" i="4"/>
  <c r="G12" i="4"/>
  <c r="F12" i="4"/>
  <c r="F11" i="4"/>
  <c r="G11" i="4" s="1"/>
  <c r="O10" i="4"/>
  <c r="G10" i="4"/>
  <c r="F10" i="4"/>
  <c r="F9" i="4"/>
  <c r="G9" i="4" s="1"/>
  <c r="F8" i="4"/>
  <c r="G8" i="4" s="1"/>
  <c r="F7" i="4"/>
  <c r="G7" i="4" s="1"/>
  <c r="F6" i="4"/>
  <c r="G6" i="4" s="1"/>
  <c r="N5" i="4"/>
  <c r="F5" i="4"/>
  <c r="G5" i="4" s="1"/>
  <c r="F4" i="4"/>
  <c r="G4" i="4" s="1"/>
  <c r="F3" i="4"/>
  <c r="F2" i="4"/>
  <c r="G2" i="4" s="1"/>
  <c r="N1" i="4"/>
  <c r="O24" i="4" l="1"/>
  <c r="O28" i="4"/>
  <c r="O32" i="4"/>
  <c r="O36" i="4"/>
  <c r="O40" i="4"/>
  <c r="O44" i="4"/>
  <c r="O48" i="4"/>
  <c r="O1" i="4"/>
  <c r="G3" i="4"/>
  <c r="N3" i="4"/>
  <c r="N7" i="4"/>
  <c r="O3" i="4"/>
  <c r="O5" i="4"/>
  <c r="O7" i="4"/>
  <c r="N9" i="4"/>
  <c r="N11" i="4"/>
  <c r="N13" i="4"/>
  <c r="N15" i="4"/>
  <c r="N17" i="4"/>
  <c r="N19" i="4"/>
  <c r="N21" i="4"/>
  <c r="N23" i="4"/>
  <c r="N25" i="4"/>
  <c r="N27" i="4"/>
  <c r="N29" i="4"/>
  <c r="N31" i="4"/>
  <c r="N33" i="4"/>
  <c r="N35" i="4"/>
  <c r="N37" i="4"/>
  <c r="N39" i="4"/>
  <c r="N41" i="4"/>
  <c r="N43" i="4"/>
  <c r="N45" i="4"/>
  <c r="N47" i="4"/>
  <c r="N49" i="4"/>
  <c r="N51" i="4"/>
  <c r="O9" i="4"/>
  <c r="O11" i="4"/>
  <c r="O13" i="4"/>
  <c r="O15" i="4"/>
  <c r="O17" i="4"/>
  <c r="O19" i="4"/>
  <c r="O21" i="4"/>
  <c r="O23" i="4"/>
  <c r="O25" i="4"/>
  <c r="O27" i="4"/>
  <c r="O29" i="4"/>
  <c r="O31" i="4"/>
  <c r="O33" i="4"/>
  <c r="O35" i="4"/>
  <c r="O37" i="4"/>
  <c r="O39" i="4"/>
  <c r="O41" i="4"/>
  <c r="O43" i="4"/>
  <c r="O45" i="4"/>
  <c r="O47" i="4"/>
  <c r="O49" i="4"/>
  <c r="O51" i="4"/>
  <c r="N6" i="4"/>
  <c r="N2" i="4"/>
  <c r="N4" i="4"/>
  <c r="N8" i="4"/>
  <c r="O2" i="4"/>
  <c r="O4" i="4"/>
  <c r="O6" i="4"/>
  <c r="O8" i="4"/>
  <c r="N10" i="4"/>
  <c r="N12" i="4"/>
  <c r="N14" i="4"/>
  <c r="N16" i="4"/>
  <c r="N18" i="4"/>
  <c r="N20" i="4"/>
  <c r="N22" i="4"/>
  <c r="N24" i="4"/>
  <c r="N26" i="4"/>
  <c r="N28" i="4"/>
  <c r="N30" i="4"/>
  <c r="N32" i="4"/>
  <c r="N34" i="4"/>
  <c r="N36" i="4"/>
  <c r="N38" i="4"/>
  <c r="N40" i="4"/>
  <c r="N42" i="4"/>
  <c r="N44" i="4"/>
  <c r="N46" i="4"/>
  <c r="N48" i="4"/>
  <c r="H2" i="3"/>
  <c r="H7" i="3"/>
  <c r="H6" i="3"/>
  <c r="G2" i="3" l="1"/>
  <c r="G13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E4" i="3"/>
  <c r="F4" i="3" s="1"/>
  <c r="E3" i="3"/>
  <c r="F3" i="3" s="1"/>
  <c r="E2" i="3"/>
  <c r="I2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6" i="1"/>
  <c r="G6" i="1" s="1"/>
  <c r="F5" i="1"/>
  <c r="G5" i="1" s="1"/>
  <c r="F4" i="1"/>
  <c r="G4" i="1" s="1"/>
  <c r="F3" i="1"/>
  <c r="G3" i="1" s="1"/>
  <c r="F2" i="1"/>
  <c r="G2" i="1" s="1"/>
  <c r="F2" i="3" l="1"/>
  <c r="H9" i="1"/>
  <c r="H2" i="1"/>
</calcChain>
</file>

<file path=xl/sharedStrings.xml><?xml version="1.0" encoding="utf-8"?>
<sst xmlns="http://schemas.openxmlformats.org/spreadsheetml/2006/main" count="1517" uniqueCount="64">
  <si>
    <t>Station</t>
  </si>
  <si>
    <t>TC_Name</t>
  </si>
  <si>
    <t>ModeledPeaks</t>
  </si>
  <si>
    <t>ObsPeaks</t>
  </si>
  <si>
    <t>difference</t>
  </si>
  <si>
    <t>diff^2</t>
  </si>
  <si>
    <t>MeanDiff</t>
  </si>
  <si>
    <t>Stddev</t>
  </si>
  <si>
    <t>Katrina</t>
  </si>
  <si>
    <t xml:space="preserve">PBIAS %  </t>
  </si>
  <si>
    <t>073802284</t>
  </si>
  <si>
    <t>Cindy</t>
  </si>
  <si>
    <t>Rita</t>
  </si>
  <si>
    <t>Harvey</t>
  </si>
  <si>
    <t>Nate</t>
  </si>
  <si>
    <t>RMSE</t>
  </si>
  <si>
    <t>Barry</t>
  </si>
  <si>
    <t>Imelda</t>
  </si>
  <si>
    <t>Bias</t>
  </si>
  <si>
    <t>Olga</t>
  </si>
  <si>
    <t>Cristobal</t>
  </si>
  <si>
    <t>Laura</t>
  </si>
  <si>
    <t>Sally&amp;Beta</t>
  </si>
  <si>
    <t>Delta</t>
  </si>
  <si>
    <t>Zeta</t>
  </si>
  <si>
    <t>Ida</t>
  </si>
  <si>
    <t>073802282</t>
  </si>
  <si>
    <t>Gustav</t>
  </si>
  <si>
    <t>Bonnie</t>
  </si>
  <si>
    <t>Lee</t>
  </si>
  <si>
    <t>Isaac</t>
  </si>
  <si>
    <t>073802280</t>
  </si>
  <si>
    <t>073802273</t>
  </si>
  <si>
    <t>073802245</t>
  </si>
  <si>
    <t>0738022395</t>
  </si>
  <si>
    <t>0738022295</t>
  </si>
  <si>
    <t>073802225</t>
  </si>
  <si>
    <t>073802220</t>
  </si>
  <si>
    <t>07380215</t>
  </si>
  <si>
    <t>07380212</t>
  </si>
  <si>
    <t>07380200</t>
  </si>
  <si>
    <t>07380127</t>
  </si>
  <si>
    <t>07380126</t>
  </si>
  <si>
    <t>07380120</t>
  </si>
  <si>
    <t>Port Vincent</t>
  </si>
  <si>
    <t>07380102</t>
  </si>
  <si>
    <t>07380101</t>
  </si>
  <si>
    <t>07379960</t>
  </si>
  <si>
    <t>07379100</t>
  </si>
  <si>
    <t>07379075</t>
  </si>
  <si>
    <t>07379050</t>
  </si>
  <si>
    <t>07379000</t>
  </si>
  <si>
    <t>07378810</t>
  </si>
  <si>
    <t>07378748</t>
  </si>
  <si>
    <t>07378746</t>
  </si>
  <si>
    <t>07378745</t>
  </si>
  <si>
    <t>07378722</t>
  </si>
  <si>
    <t>07378650</t>
  </si>
  <si>
    <t>07376300</t>
  </si>
  <si>
    <t>07375650</t>
  </si>
  <si>
    <t>07375230</t>
  </si>
  <si>
    <t>TC</t>
  </si>
  <si>
    <t>HWMs</t>
  </si>
  <si>
    <t>Storms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</si>
</sst>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1" fillId="0" borderId="0" xfId="0" applyFont="1" applyAlignment="1">
      <alignment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49" fontId="0" fillId="2" borderId="0" xfId="0" applyNumberFormat="1" applyFill="1"/>
    <xf numFmtId="2" fontId="0" fillId="2" borderId="0" xfId="0" applyNumberFormat="1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TCs numerical model uncertainty for Gages </a:t>
            </a:r>
          </a:p>
        </c:rich>
      </c:tx>
      <c:layout>
        <c:manualLayout>
          <c:xMode val="edge"/>
          <c:yMode val="edge"/>
          <c:x val="0.24169444444444449"/>
          <c:y val="3.015763571044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72681539807524"/>
          <c:y val="9.9218621487347822E-2"/>
          <c:w val="0.81943985126859142"/>
          <c:h val="0.64108678879681613"/>
        </c:manualLayout>
      </c:layout>
      <c:scatterChart>
        <c:scatterStyle val="lineMarker"/>
        <c:varyColors val="0"/>
        <c:ser>
          <c:idx val="0"/>
          <c:order val="0"/>
          <c:tx>
            <c:v>TCs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6350" cap="rnd">
                <a:solidFill>
                  <a:srgbClr val="FF0000"/>
                </a:solidFill>
              </a:ln>
              <a:effectLst/>
            </c:spPr>
          </c:marker>
          <c:trendline>
            <c:spPr>
              <a:ln w="28575" cap="rnd">
                <a:solidFill>
                  <a:schemeClr val="accent5">
                    <a:lumMod val="75000"/>
                  </a:schemeClr>
                </a:solidFill>
                <a:prstDash val="dash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760892388451446"/>
                  <c:y val="-1.77839383497620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GageUnc!$D$2:$D$418</c:f>
              <c:numCache>
                <c:formatCode>0.00</c:formatCode>
                <c:ptCount val="417"/>
                <c:pt idx="0">
                  <c:v>1.7448360919952399</c:v>
                </c:pt>
                <c:pt idx="1">
                  <c:v>2.0340173244476301</c:v>
                </c:pt>
                <c:pt idx="2">
                  <c:v>1.56845927238464</c:v>
                </c:pt>
                <c:pt idx="3">
                  <c:v>1.7747837305069001</c:v>
                </c:pt>
                <c:pt idx="4">
                  <c:v>1.2953345775604199</c:v>
                </c:pt>
                <c:pt idx="5">
                  <c:v>1.48227643966675</c:v>
                </c:pt>
                <c:pt idx="6">
                  <c:v>1.7548912763595601</c:v>
                </c:pt>
                <c:pt idx="7">
                  <c:v>1.8587521314621001</c:v>
                </c:pt>
                <c:pt idx="8">
                  <c:v>2.88178634643555</c:v>
                </c:pt>
                <c:pt idx="9">
                  <c:v>1.9542093276977499</c:v>
                </c:pt>
                <c:pt idx="10">
                  <c:v>1.25166893005371</c:v>
                </c:pt>
                <c:pt idx="11">
                  <c:v>3.1537833213806201</c:v>
                </c:pt>
                <c:pt idx="12">
                  <c:v>3.5574634075164799</c:v>
                </c:pt>
                <c:pt idx="13">
                  <c:v>1.0305161476135301</c:v>
                </c:pt>
                <c:pt idx="14">
                  <c:v>2.8905079364776598</c:v>
                </c:pt>
                <c:pt idx="15">
                  <c:v>6.54313468933106</c:v>
                </c:pt>
                <c:pt idx="16">
                  <c:v>1.74316370487213</c:v>
                </c:pt>
                <c:pt idx="17">
                  <c:v>2.0504012107849099</c:v>
                </c:pt>
                <c:pt idx="18">
                  <c:v>1.5601729154586801</c:v>
                </c:pt>
                <c:pt idx="19">
                  <c:v>1.7643300294876101</c:v>
                </c:pt>
                <c:pt idx="20">
                  <c:v>1.2812638282775899</c:v>
                </c:pt>
                <c:pt idx="21">
                  <c:v>1.49347949028015</c:v>
                </c:pt>
                <c:pt idx="22">
                  <c:v>1.74072730541229</c:v>
                </c:pt>
                <c:pt idx="23">
                  <c:v>1.84258592128754</c:v>
                </c:pt>
                <c:pt idx="24">
                  <c:v>2.8721008300781299</c:v>
                </c:pt>
                <c:pt idx="25">
                  <c:v>1.9476903676986701</c:v>
                </c:pt>
                <c:pt idx="26">
                  <c:v>1.23880898952484</c:v>
                </c:pt>
                <c:pt idx="27">
                  <c:v>3.14753246307373</c:v>
                </c:pt>
                <c:pt idx="28">
                  <c:v>2.4502096176147501</c:v>
                </c:pt>
                <c:pt idx="29">
                  <c:v>1.8425482511520399</c:v>
                </c:pt>
                <c:pt idx="30">
                  <c:v>2.91453289985657</c:v>
                </c:pt>
                <c:pt idx="31">
                  <c:v>2.5323634147643999</c:v>
                </c:pt>
                <c:pt idx="32">
                  <c:v>2.5316567420959499</c:v>
                </c:pt>
                <c:pt idx="33">
                  <c:v>2.51152896881104</c:v>
                </c:pt>
                <c:pt idx="34">
                  <c:v>1.6429135799407999</c:v>
                </c:pt>
                <c:pt idx="35">
                  <c:v>2.3814320564270002</c:v>
                </c:pt>
                <c:pt idx="36">
                  <c:v>3.91373491287231</c:v>
                </c:pt>
                <c:pt idx="37">
                  <c:v>5.74534368515015</c:v>
                </c:pt>
                <c:pt idx="38">
                  <c:v>0.384113729000092</c:v>
                </c:pt>
                <c:pt idx="39">
                  <c:v>6.2768292427062997</c:v>
                </c:pt>
                <c:pt idx="40">
                  <c:v>7.5198392868042001</c:v>
                </c:pt>
                <c:pt idx="41">
                  <c:v>5.3458561897277797</c:v>
                </c:pt>
                <c:pt idx="42">
                  <c:v>6.1599831581115696</c:v>
                </c:pt>
                <c:pt idx="43">
                  <c:v>2.3229398727417001</c:v>
                </c:pt>
                <c:pt idx="44">
                  <c:v>4.3228030204773003</c:v>
                </c:pt>
                <c:pt idx="45">
                  <c:v>4.1137104034423801</c:v>
                </c:pt>
                <c:pt idx="46">
                  <c:v>5.6254501342773402</c:v>
                </c:pt>
                <c:pt idx="47">
                  <c:v>4.6066775321960503</c:v>
                </c:pt>
                <c:pt idx="48">
                  <c:v>4.90875291824341</c:v>
                </c:pt>
                <c:pt idx="49">
                  <c:v>3.9944009780883798</c:v>
                </c:pt>
                <c:pt idx="50">
                  <c:v>3.9936172962188698</c:v>
                </c:pt>
                <c:pt idx="51">
                  <c:v>4.8460016250610396</c:v>
                </c:pt>
                <c:pt idx="52">
                  <c:v>5.6785311698913601</c:v>
                </c:pt>
                <c:pt idx="53">
                  <c:v>4.8994083404540998</c:v>
                </c:pt>
                <c:pt idx="54">
                  <c:v>1.92495560646057</c:v>
                </c:pt>
                <c:pt idx="55">
                  <c:v>5.2084484100341797</c:v>
                </c:pt>
                <c:pt idx="56">
                  <c:v>6.8409962654113796</c:v>
                </c:pt>
                <c:pt idx="57">
                  <c:v>3.7474431991577202</c:v>
                </c:pt>
                <c:pt idx="58">
                  <c:v>5.2700695991516104</c:v>
                </c:pt>
                <c:pt idx="59">
                  <c:v>2.6613113880157502</c:v>
                </c:pt>
                <c:pt idx="60">
                  <c:v>2.9533932209014901</c:v>
                </c:pt>
                <c:pt idx="61">
                  <c:v>2.9043555259704599</c:v>
                </c:pt>
                <c:pt idx="62">
                  <c:v>3.74091625213623</c:v>
                </c:pt>
                <c:pt idx="63">
                  <c:v>3.0372765064239502</c:v>
                </c:pt>
                <c:pt idx="64">
                  <c:v>3.00093650817871</c:v>
                </c:pt>
                <c:pt idx="65">
                  <c:v>2.6888508796691899</c:v>
                </c:pt>
                <c:pt idx="66">
                  <c:v>2.8888907432556201</c:v>
                </c:pt>
                <c:pt idx="67">
                  <c:v>3.0253353118896502</c:v>
                </c:pt>
                <c:pt idx="68">
                  <c:v>4.2978162765502903</c:v>
                </c:pt>
                <c:pt idx="69">
                  <c:v>8.6035842895507795</c:v>
                </c:pt>
                <c:pt idx="70">
                  <c:v>6.36513328552246</c:v>
                </c:pt>
                <c:pt idx="71">
                  <c:v>8.6697673797607404</c:v>
                </c:pt>
                <c:pt idx="72">
                  <c:v>10.667182922363301</c:v>
                </c:pt>
                <c:pt idx="73">
                  <c:v>6.9931397438049299</c:v>
                </c:pt>
                <c:pt idx="74">
                  <c:v>6.9523983001709002</c:v>
                </c:pt>
                <c:pt idx="75">
                  <c:v>7.9284815788268999</c:v>
                </c:pt>
                <c:pt idx="76">
                  <c:v>7.0073480606079102</c:v>
                </c:pt>
                <c:pt idx="77">
                  <c:v>6.9199872016906703</c:v>
                </c:pt>
                <c:pt idx="78">
                  <c:v>6.8900947570800799</c:v>
                </c:pt>
                <c:pt idx="79">
                  <c:v>7.1306881904602104</c:v>
                </c:pt>
                <c:pt idx="80">
                  <c:v>6.9653916358947798</c:v>
                </c:pt>
                <c:pt idx="81">
                  <c:v>8.45715236663818</c:v>
                </c:pt>
                <c:pt idx="82">
                  <c:v>8.5138425827026403</c:v>
                </c:pt>
                <c:pt idx="83">
                  <c:v>6.6704859733581499</c:v>
                </c:pt>
                <c:pt idx="84">
                  <c:v>9.4046001434326207</c:v>
                </c:pt>
                <c:pt idx="85">
                  <c:v>11.549516677856399</c:v>
                </c:pt>
                <c:pt idx="86">
                  <c:v>7.52278709411621</c:v>
                </c:pt>
                <c:pt idx="87">
                  <c:v>8.7693166732788104</c:v>
                </c:pt>
                <c:pt idx="88">
                  <c:v>6.6161475181579599</c:v>
                </c:pt>
                <c:pt idx="89">
                  <c:v>7.6360449790954599</c:v>
                </c:pt>
                <c:pt idx="90">
                  <c:v>6.8705577850341797</c:v>
                </c:pt>
                <c:pt idx="91">
                  <c:v>7.8859295845031703</c:v>
                </c:pt>
                <c:pt idx="92">
                  <c:v>7.4367904663085902</c:v>
                </c:pt>
                <c:pt idx="93">
                  <c:v>7.4072809219360396</c:v>
                </c:pt>
                <c:pt idx="94">
                  <c:v>6.9202075004577601</c:v>
                </c:pt>
                <c:pt idx="95">
                  <c:v>7.6970643997192401</c:v>
                </c:pt>
                <c:pt idx="96">
                  <c:v>7.2943768501281703</c:v>
                </c:pt>
                <c:pt idx="97">
                  <c:v>8.2150373458862305</c:v>
                </c:pt>
                <c:pt idx="98">
                  <c:v>3.4588291645050102</c:v>
                </c:pt>
                <c:pt idx="99">
                  <c:v>0.84762668609619096</c:v>
                </c:pt>
                <c:pt idx="100">
                  <c:v>2.9108982086181601</c:v>
                </c:pt>
                <c:pt idx="101">
                  <c:v>6.0985293388366699</c:v>
                </c:pt>
                <c:pt idx="102">
                  <c:v>2.1431634426116899</c:v>
                </c:pt>
                <c:pt idx="103">
                  <c:v>2.8191168308258101</c:v>
                </c:pt>
                <c:pt idx="104">
                  <c:v>1.4528992176055899</c:v>
                </c:pt>
                <c:pt idx="105">
                  <c:v>1.2978254556655899</c:v>
                </c:pt>
                <c:pt idx="106">
                  <c:v>1.17037808895111</c:v>
                </c:pt>
                <c:pt idx="107">
                  <c:v>1.9899208545684799</c:v>
                </c:pt>
                <c:pt idx="108">
                  <c:v>1.2796422243118299</c:v>
                </c:pt>
                <c:pt idx="109">
                  <c:v>1.6084678173065201</c:v>
                </c:pt>
                <c:pt idx="110">
                  <c:v>2.74417304992676</c:v>
                </c:pt>
                <c:pt idx="111">
                  <c:v>1.5557951927185101</c:v>
                </c:pt>
                <c:pt idx="112">
                  <c:v>1.3411569595336901</c:v>
                </c:pt>
                <c:pt idx="113">
                  <c:v>3.0861001014709499</c:v>
                </c:pt>
                <c:pt idx="114">
                  <c:v>7.9618272781372097</c:v>
                </c:pt>
                <c:pt idx="115">
                  <c:v>2.9149236679077202</c:v>
                </c:pt>
                <c:pt idx="116">
                  <c:v>7.9541120529174796</c:v>
                </c:pt>
                <c:pt idx="117">
                  <c:v>8.5244693756103498</c:v>
                </c:pt>
                <c:pt idx="118">
                  <c:v>7.5633044242858896</c:v>
                </c:pt>
                <c:pt idx="119">
                  <c:v>8.1803655624389702</c:v>
                </c:pt>
                <c:pt idx="120">
                  <c:v>4.0383586883544904</c:v>
                </c:pt>
                <c:pt idx="121">
                  <c:v>6.4694113731384304</c:v>
                </c:pt>
                <c:pt idx="122">
                  <c:v>5.86962795257568</c:v>
                </c:pt>
                <c:pt idx="123">
                  <c:v>7.6049075126648003</c:v>
                </c:pt>
                <c:pt idx="124">
                  <c:v>6.4352269172668501</c:v>
                </c:pt>
                <c:pt idx="125">
                  <c:v>6.3637981414794904</c:v>
                </c:pt>
                <c:pt idx="126">
                  <c:v>6.17327833175659</c:v>
                </c:pt>
                <c:pt idx="127">
                  <c:v>5.8360567092895499</c:v>
                </c:pt>
                <c:pt idx="128">
                  <c:v>6.6315684318542498</c:v>
                </c:pt>
                <c:pt idx="129">
                  <c:v>7.7206749916076696</c:v>
                </c:pt>
                <c:pt idx="130">
                  <c:v>4.0738792419433603</c:v>
                </c:pt>
                <c:pt idx="131">
                  <c:v>1.35436511039734</c:v>
                </c:pt>
                <c:pt idx="132">
                  <c:v>3.66083788871765</c:v>
                </c:pt>
                <c:pt idx="133">
                  <c:v>8.4517955780029297</c:v>
                </c:pt>
                <c:pt idx="134">
                  <c:v>2.3384270668029798</c:v>
                </c:pt>
                <c:pt idx="135">
                  <c:v>1.90528893470764</c:v>
                </c:pt>
                <c:pt idx="136">
                  <c:v>2.1225728988647501</c:v>
                </c:pt>
                <c:pt idx="137">
                  <c:v>2.4952099323272701</c:v>
                </c:pt>
                <c:pt idx="138">
                  <c:v>1.8521910905837999</c:v>
                </c:pt>
                <c:pt idx="139">
                  <c:v>1.5725284814834599</c:v>
                </c:pt>
                <c:pt idx="140">
                  <c:v>2.67950439453125</c:v>
                </c:pt>
                <c:pt idx="141">
                  <c:v>2.6814935207366899</c:v>
                </c:pt>
                <c:pt idx="142">
                  <c:v>3.46857810020447</c:v>
                </c:pt>
                <c:pt idx="143">
                  <c:v>1.7326465845107999</c:v>
                </c:pt>
                <c:pt idx="144">
                  <c:v>1.7189974784851101</c:v>
                </c:pt>
                <c:pt idx="145">
                  <c:v>4.8496851921081499</c:v>
                </c:pt>
                <c:pt idx="146">
                  <c:v>1.4560068845748899</c:v>
                </c:pt>
                <c:pt idx="147">
                  <c:v>1.55275595188141</c:v>
                </c:pt>
                <c:pt idx="148">
                  <c:v>2.3596782684326199</c:v>
                </c:pt>
                <c:pt idx="149">
                  <c:v>1.44899773597717</c:v>
                </c:pt>
                <c:pt idx="150">
                  <c:v>1.2768319845199601</c:v>
                </c:pt>
                <c:pt idx="151">
                  <c:v>2.5884561538696298</c:v>
                </c:pt>
                <c:pt idx="152">
                  <c:v>4.8929705619812003</c:v>
                </c:pt>
                <c:pt idx="153">
                  <c:v>1.3260631561279299</c:v>
                </c:pt>
                <c:pt idx="154">
                  <c:v>3.5101194381713898</c:v>
                </c:pt>
                <c:pt idx="155">
                  <c:v>7.0889930725097701</c:v>
                </c:pt>
                <c:pt idx="156">
                  <c:v>2.2785804271697998</c:v>
                </c:pt>
                <c:pt idx="157">
                  <c:v>2.2421641349792498</c:v>
                </c:pt>
                <c:pt idx="158">
                  <c:v>2.04465532302856</c:v>
                </c:pt>
                <c:pt idx="159">
                  <c:v>2.3596179485321001</c:v>
                </c:pt>
                <c:pt idx="160">
                  <c:v>1.76886594295502</c:v>
                </c:pt>
                <c:pt idx="161">
                  <c:v>1.5771850347518901</c:v>
                </c:pt>
                <c:pt idx="162">
                  <c:v>2.4269831180572501</c:v>
                </c:pt>
                <c:pt idx="163">
                  <c:v>2.5161905288696298</c:v>
                </c:pt>
                <c:pt idx="164">
                  <c:v>3.2574110031127899</c:v>
                </c:pt>
                <c:pt idx="165">
                  <c:v>3.1734673976898198</c:v>
                </c:pt>
                <c:pt idx="166">
                  <c:v>1.6521128416061399</c:v>
                </c:pt>
                <c:pt idx="167">
                  <c:v>3.73580694198608</c:v>
                </c:pt>
                <c:pt idx="168">
                  <c:v>3.0304300785064702</c:v>
                </c:pt>
                <c:pt idx="169">
                  <c:v>3.3617844581603999</c:v>
                </c:pt>
                <c:pt idx="170">
                  <c:v>1.8728837966918901</c:v>
                </c:pt>
                <c:pt idx="171">
                  <c:v>3.5841221809387198</c:v>
                </c:pt>
                <c:pt idx="172">
                  <c:v>1.5585350990295399</c:v>
                </c:pt>
                <c:pt idx="173">
                  <c:v>2.0701386928558398</c:v>
                </c:pt>
                <c:pt idx="174">
                  <c:v>2.6317408084869398</c:v>
                </c:pt>
                <c:pt idx="175">
                  <c:v>2.56960129737854</c:v>
                </c:pt>
                <c:pt idx="176">
                  <c:v>3.2625987529754599</c:v>
                </c:pt>
                <c:pt idx="177">
                  <c:v>6.3795046806335503</c:v>
                </c:pt>
                <c:pt idx="178">
                  <c:v>1.6122235059738199</c:v>
                </c:pt>
                <c:pt idx="179">
                  <c:v>5.4548311233520499</c:v>
                </c:pt>
                <c:pt idx="180">
                  <c:v>9.2662305831909197</c:v>
                </c:pt>
                <c:pt idx="181">
                  <c:v>3.68542551994324</c:v>
                </c:pt>
                <c:pt idx="182">
                  <c:v>6.39343357086182</c:v>
                </c:pt>
                <c:pt idx="183">
                  <c:v>9.1767826080322301</c:v>
                </c:pt>
                <c:pt idx="184">
                  <c:v>5.4484338760376003</c:v>
                </c:pt>
                <c:pt idx="185">
                  <c:v>6.5727596282959002</c:v>
                </c:pt>
                <c:pt idx="186">
                  <c:v>4.5751504898071298</c:v>
                </c:pt>
                <c:pt idx="187">
                  <c:v>5.1694192886352504</c:v>
                </c:pt>
                <c:pt idx="188">
                  <c:v>4.9298162460327202</c:v>
                </c:pt>
                <c:pt idx="189">
                  <c:v>5.7497696876525897</c:v>
                </c:pt>
                <c:pt idx="190">
                  <c:v>5.1936402320861799</c:v>
                </c:pt>
                <c:pt idx="191">
                  <c:v>5.1192474365234402</c:v>
                </c:pt>
                <c:pt idx="192">
                  <c:v>4.9321317672729501</c:v>
                </c:pt>
                <c:pt idx="193">
                  <c:v>6.3791599273681596</c:v>
                </c:pt>
                <c:pt idx="194">
                  <c:v>5.0833597183227504</c:v>
                </c:pt>
                <c:pt idx="195">
                  <c:v>6.7741074562072798</c:v>
                </c:pt>
                <c:pt idx="196">
                  <c:v>9.3495330810546893</c:v>
                </c:pt>
                <c:pt idx="197">
                  <c:v>1.3462396860122701</c:v>
                </c:pt>
                <c:pt idx="198">
                  <c:v>5.52766990661621</c:v>
                </c:pt>
                <c:pt idx="199">
                  <c:v>9.2490892410278303</c:v>
                </c:pt>
                <c:pt idx="200">
                  <c:v>3.1025092601776101</c:v>
                </c:pt>
                <c:pt idx="201">
                  <c:v>3.41788983345032</c:v>
                </c:pt>
                <c:pt idx="202">
                  <c:v>2.0597894191741899</c:v>
                </c:pt>
                <c:pt idx="203">
                  <c:v>3.6750211715698198</c:v>
                </c:pt>
                <c:pt idx="204">
                  <c:v>1.7800418138503999</c:v>
                </c:pt>
                <c:pt idx="205">
                  <c:v>1.6968082189559901</c:v>
                </c:pt>
                <c:pt idx="206">
                  <c:v>2.7122390270233199</c:v>
                </c:pt>
                <c:pt idx="207">
                  <c:v>2.6399791240692099</c:v>
                </c:pt>
                <c:pt idx="208">
                  <c:v>3.2767372131347701</c:v>
                </c:pt>
                <c:pt idx="209">
                  <c:v>6.4936480522155797</c:v>
                </c:pt>
                <c:pt idx="210">
                  <c:v>1.73391914367676</c:v>
                </c:pt>
                <c:pt idx="211">
                  <c:v>5.5769238471984899</c:v>
                </c:pt>
                <c:pt idx="212">
                  <c:v>12.4606580734253</c:v>
                </c:pt>
                <c:pt idx="213">
                  <c:v>10.220248222351101</c:v>
                </c:pt>
                <c:pt idx="214">
                  <c:v>11.886334419250501</c:v>
                </c:pt>
                <c:pt idx="215">
                  <c:v>8.5261201858520508</c:v>
                </c:pt>
                <c:pt idx="216">
                  <c:v>10.026070594787599</c:v>
                </c:pt>
                <c:pt idx="217">
                  <c:v>7.6916785240173304</c:v>
                </c:pt>
                <c:pt idx="218">
                  <c:v>9.7127122879028303</c:v>
                </c:pt>
                <c:pt idx="219">
                  <c:v>7.6005153656005904</c:v>
                </c:pt>
                <c:pt idx="220">
                  <c:v>9.0180139541625994</c:v>
                </c:pt>
                <c:pt idx="221">
                  <c:v>8.3198385238647496</c:v>
                </c:pt>
                <c:pt idx="222">
                  <c:v>8.4910736083984393</c:v>
                </c:pt>
                <c:pt idx="223">
                  <c:v>7.8765211105346697</c:v>
                </c:pt>
                <c:pt idx="224">
                  <c:v>9.14300537109375</c:v>
                </c:pt>
                <c:pt idx="225">
                  <c:v>8.0999031066894496</c:v>
                </c:pt>
                <c:pt idx="226">
                  <c:v>10.078198432922401</c:v>
                </c:pt>
                <c:pt idx="227">
                  <c:v>12.7775478363037</c:v>
                </c:pt>
                <c:pt idx="228">
                  <c:v>1.3738472461700399</c:v>
                </c:pt>
                <c:pt idx="229">
                  <c:v>7.5141615867614799</c:v>
                </c:pt>
                <c:pt idx="230">
                  <c:v>12.1582746505737</c:v>
                </c:pt>
                <c:pt idx="231">
                  <c:v>4.5187416076660201</c:v>
                </c:pt>
                <c:pt idx="232">
                  <c:v>4.8860750198364302</c:v>
                </c:pt>
                <c:pt idx="233">
                  <c:v>2.1116135120391801</c:v>
                </c:pt>
                <c:pt idx="234">
                  <c:v>5.5770568847656303</c:v>
                </c:pt>
                <c:pt idx="235">
                  <c:v>1.8080533742904701</c:v>
                </c:pt>
                <c:pt idx="236">
                  <c:v>2.3154628276825</c:v>
                </c:pt>
                <c:pt idx="237">
                  <c:v>3.5651500225067099</c:v>
                </c:pt>
                <c:pt idx="238">
                  <c:v>3.4100883007049601</c:v>
                </c:pt>
                <c:pt idx="239">
                  <c:v>9.48724460601807</c:v>
                </c:pt>
                <c:pt idx="240">
                  <c:v>1.9118264913559</c:v>
                </c:pt>
                <c:pt idx="241">
                  <c:v>8.0270557403564506</c:v>
                </c:pt>
                <c:pt idx="242">
                  <c:v>17.3054084777832</c:v>
                </c:pt>
                <c:pt idx="243">
                  <c:v>10.230510711669901</c:v>
                </c:pt>
                <c:pt idx="244">
                  <c:v>15.149151802063001</c:v>
                </c:pt>
                <c:pt idx="245">
                  <c:v>12.7478532791138</c:v>
                </c:pt>
                <c:pt idx="246">
                  <c:v>14.1496467590332</c:v>
                </c:pt>
                <c:pt idx="247">
                  <c:v>10.3044652938843</c:v>
                </c:pt>
                <c:pt idx="248">
                  <c:v>14.760377883911101</c:v>
                </c:pt>
                <c:pt idx="249">
                  <c:v>10.003471374511699</c:v>
                </c:pt>
                <c:pt idx="250">
                  <c:v>11.4971218109131</c:v>
                </c:pt>
                <c:pt idx="251">
                  <c:v>12.2976484298706</c:v>
                </c:pt>
                <c:pt idx="252">
                  <c:v>12.389152526855501</c:v>
                </c:pt>
                <c:pt idx="253">
                  <c:v>11.2758598327637</c:v>
                </c:pt>
                <c:pt idx="254">
                  <c:v>15.2803955078125</c:v>
                </c:pt>
                <c:pt idx="255">
                  <c:v>10.8453168869019</c:v>
                </c:pt>
                <c:pt idx="256">
                  <c:v>12.170327186584499</c:v>
                </c:pt>
                <c:pt idx="257">
                  <c:v>27.449680328369102</c:v>
                </c:pt>
                <c:pt idx="258">
                  <c:v>19.193195343017599</c:v>
                </c:pt>
                <c:pt idx="259">
                  <c:v>25.0657043457031</c:v>
                </c:pt>
                <c:pt idx="260">
                  <c:v>28.2618007659912</c:v>
                </c:pt>
                <c:pt idx="261">
                  <c:v>22.960983276367202</c:v>
                </c:pt>
                <c:pt idx="262">
                  <c:v>22.913082122802699</c:v>
                </c:pt>
                <c:pt idx="263">
                  <c:v>20.255271911621101</c:v>
                </c:pt>
                <c:pt idx="264">
                  <c:v>19.330123901367202</c:v>
                </c:pt>
                <c:pt idx="265">
                  <c:v>20.101802825927699</c:v>
                </c:pt>
                <c:pt idx="266">
                  <c:v>22.031641006469702</c:v>
                </c:pt>
                <c:pt idx="267">
                  <c:v>22.206932067871101</c:v>
                </c:pt>
                <c:pt idx="268">
                  <c:v>20.707105636596701</c:v>
                </c:pt>
                <c:pt idx="269">
                  <c:v>27.795467376708999</c:v>
                </c:pt>
                <c:pt idx="270">
                  <c:v>20.6470947265625</c:v>
                </c:pt>
                <c:pt idx="271">
                  <c:v>21.897832870483398</c:v>
                </c:pt>
                <c:pt idx="272">
                  <c:v>8.9884366989135707</c:v>
                </c:pt>
                <c:pt idx="273">
                  <c:v>1.81040298938751</c:v>
                </c:pt>
                <c:pt idx="274">
                  <c:v>4.1638946533203098</c:v>
                </c:pt>
                <c:pt idx="275">
                  <c:v>5.35428667068481</c:v>
                </c:pt>
                <c:pt idx="276">
                  <c:v>5.6536121368408203</c:v>
                </c:pt>
                <c:pt idx="277">
                  <c:v>4.19998979568481</c:v>
                </c:pt>
                <c:pt idx="278">
                  <c:v>9.2791013717651403</c:v>
                </c:pt>
                <c:pt idx="279">
                  <c:v>2.52888154983521</c:v>
                </c:pt>
                <c:pt idx="280">
                  <c:v>6.9796085357665998</c:v>
                </c:pt>
                <c:pt idx="281">
                  <c:v>21.085620880126999</c:v>
                </c:pt>
                <c:pt idx="282">
                  <c:v>18.9239387512207</c:v>
                </c:pt>
                <c:pt idx="283">
                  <c:v>23.5012321472168</c:v>
                </c:pt>
                <c:pt idx="284">
                  <c:v>14.9496564865112</c:v>
                </c:pt>
                <c:pt idx="285">
                  <c:v>15.881507873535201</c:v>
                </c:pt>
                <c:pt idx="286">
                  <c:v>11.0379428863525</c:v>
                </c:pt>
                <c:pt idx="287">
                  <c:v>17.894950866699201</c:v>
                </c:pt>
                <c:pt idx="288">
                  <c:v>9.9020843505859393</c:v>
                </c:pt>
                <c:pt idx="289">
                  <c:v>12.1510019302368</c:v>
                </c:pt>
                <c:pt idx="290">
                  <c:v>14.554007530212401</c:v>
                </c:pt>
                <c:pt idx="291">
                  <c:v>14.651165962219199</c:v>
                </c:pt>
                <c:pt idx="292">
                  <c:v>12.203774452209499</c:v>
                </c:pt>
                <c:pt idx="293">
                  <c:v>20.7529411315918</c:v>
                </c:pt>
                <c:pt idx="294">
                  <c:v>11.6429347991943</c:v>
                </c:pt>
                <c:pt idx="295">
                  <c:v>14.065894126892101</c:v>
                </c:pt>
                <c:pt idx="296">
                  <c:v>36.522716522216797</c:v>
                </c:pt>
                <c:pt idx="297">
                  <c:v>35.495693206787102</c:v>
                </c:pt>
                <c:pt idx="298">
                  <c:v>35.915756225585902</c:v>
                </c:pt>
                <c:pt idx="299">
                  <c:v>34.016136169433601</c:v>
                </c:pt>
                <c:pt idx="300">
                  <c:v>34.650730133056598</c:v>
                </c:pt>
                <c:pt idx="301">
                  <c:v>32.603191375732401</c:v>
                </c:pt>
                <c:pt idx="302">
                  <c:v>34.691097259521499</c:v>
                </c:pt>
                <c:pt idx="303">
                  <c:v>32.237846374511697</c:v>
                </c:pt>
                <c:pt idx="304">
                  <c:v>33.029167175292997</c:v>
                </c:pt>
                <c:pt idx="305">
                  <c:v>33.899063110351598</c:v>
                </c:pt>
                <c:pt idx="306">
                  <c:v>34.199054718017599</c:v>
                </c:pt>
                <c:pt idx="307">
                  <c:v>32.997356414794901</c:v>
                </c:pt>
                <c:pt idx="308">
                  <c:v>36.550506591796903</c:v>
                </c:pt>
                <c:pt idx="309">
                  <c:v>32.638065338134801</c:v>
                </c:pt>
                <c:pt idx="310">
                  <c:v>33.426174163818402</c:v>
                </c:pt>
                <c:pt idx="311">
                  <c:v>12.519926071166999</c:v>
                </c:pt>
                <c:pt idx="312">
                  <c:v>10.0575723648071</c:v>
                </c:pt>
                <c:pt idx="313">
                  <c:v>12.308399200439499</c:v>
                </c:pt>
                <c:pt idx="314">
                  <c:v>13.4106397628784</c:v>
                </c:pt>
                <c:pt idx="315">
                  <c:v>11.529076576232899</c:v>
                </c:pt>
                <c:pt idx="316">
                  <c:v>11.7999324798584</c:v>
                </c:pt>
                <c:pt idx="317">
                  <c:v>12.0711402893066</c:v>
                </c:pt>
                <c:pt idx="318">
                  <c:v>9.5702066421508807</c:v>
                </c:pt>
                <c:pt idx="319">
                  <c:v>11.3217678070068</c:v>
                </c:pt>
                <c:pt idx="320">
                  <c:v>11.316707611084</c:v>
                </c:pt>
                <c:pt idx="321">
                  <c:v>10.8149366378784</c:v>
                </c:pt>
                <c:pt idx="322">
                  <c:v>11.3730764389038</c:v>
                </c:pt>
                <c:pt idx="323">
                  <c:v>10.251777648925801</c:v>
                </c:pt>
                <c:pt idx="324">
                  <c:v>11.270515441894499</c:v>
                </c:pt>
                <c:pt idx="325">
                  <c:v>8.3434467315673793</c:v>
                </c:pt>
                <c:pt idx="326">
                  <c:v>1.4219319820404099</c:v>
                </c:pt>
                <c:pt idx="327">
                  <c:v>6.9270071983337402</c:v>
                </c:pt>
                <c:pt idx="328">
                  <c:v>4.5333824157714799</c:v>
                </c:pt>
                <c:pt idx="329">
                  <c:v>5.9023609161376998</c:v>
                </c:pt>
                <c:pt idx="330">
                  <c:v>2.3176739215850799</c:v>
                </c:pt>
                <c:pt idx="331">
                  <c:v>5.5747094154357901</c:v>
                </c:pt>
                <c:pt idx="332">
                  <c:v>1.8097038269043</c:v>
                </c:pt>
                <c:pt idx="333">
                  <c:v>3.4525215625762899</c:v>
                </c:pt>
                <c:pt idx="334">
                  <c:v>4.0301814079284703</c:v>
                </c:pt>
                <c:pt idx="335">
                  <c:v>4.0951595306396502</c:v>
                </c:pt>
                <c:pt idx="336">
                  <c:v>3.6535696983337398</c:v>
                </c:pt>
                <c:pt idx="337">
                  <c:v>6.7314910888671902</c:v>
                </c:pt>
                <c:pt idx="338">
                  <c:v>2.3104209899902299</c:v>
                </c:pt>
                <c:pt idx="339">
                  <c:v>6.0226778984069798</c:v>
                </c:pt>
                <c:pt idx="340">
                  <c:v>8.3440732955932599</c:v>
                </c:pt>
                <c:pt idx="341">
                  <c:v>1.4219366312027</c:v>
                </c:pt>
                <c:pt idx="342">
                  <c:v>6.9238629341125497</c:v>
                </c:pt>
                <c:pt idx="343">
                  <c:v>9.5507850646972692</c:v>
                </c:pt>
                <c:pt idx="344">
                  <c:v>4.5196471214294398</c:v>
                </c:pt>
                <c:pt idx="345">
                  <c:v>5.9138917922973597</c:v>
                </c:pt>
                <c:pt idx="346">
                  <c:v>2.3176932334899898</c:v>
                </c:pt>
                <c:pt idx="347">
                  <c:v>5.5777354240417498</c:v>
                </c:pt>
                <c:pt idx="348">
                  <c:v>1.8097119331359901</c:v>
                </c:pt>
                <c:pt idx="349">
                  <c:v>3.4494559764862101</c:v>
                </c:pt>
                <c:pt idx="350">
                  <c:v>4.0200843811035201</c:v>
                </c:pt>
                <c:pt idx="351">
                  <c:v>4.0730605125427299</c:v>
                </c:pt>
                <c:pt idx="352">
                  <c:v>3.6473658084869398</c:v>
                </c:pt>
                <c:pt idx="353">
                  <c:v>6.7005734443664604</c:v>
                </c:pt>
                <c:pt idx="354">
                  <c:v>2.3104405403137198</c:v>
                </c:pt>
                <c:pt idx="355">
                  <c:v>6.0143284797668501</c:v>
                </c:pt>
                <c:pt idx="356">
                  <c:v>1.4219366312027</c:v>
                </c:pt>
                <c:pt idx="357">
                  <c:v>6.9238629341125497</c:v>
                </c:pt>
                <c:pt idx="358">
                  <c:v>9.5507850646972692</c:v>
                </c:pt>
                <c:pt idx="359">
                  <c:v>5.9138917922973597</c:v>
                </c:pt>
                <c:pt idx="360">
                  <c:v>2.3176932334899898</c:v>
                </c:pt>
                <c:pt idx="361">
                  <c:v>5.5777354240417498</c:v>
                </c:pt>
                <c:pt idx="362">
                  <c:v>1.8097119331359901</c:v>
                </c:pt>
                <c:pt idx="363">
                  <c:v>3.4494559764862101</c:v>
                </c:pt>
                <c:pt idx="364">
                  <c:v>4.0200843811035201</c:v>
                </c:pt>
                <c:pt idx="365">
                  <c:v>4.0730605125427299</c:v>
                </c:pt>
                <c:pt idx="366">
                  <c:v>3.6473658084869398</c:v>
                </c:pt>
                <c:pt idx="367">
                  <c:v>6.7005734443664604</c:v>
                </c:pt>
                <c:pt idx="368">
                  <c:v>2.3104405403137198</c:v>
                </c:pt>
                <c:pt idx="369">
                  <c:v>6.0143284797668501</c:v>
                </c:pt>
                <c:pt idx="370">
                  <c:v>17.267972946166999</c:v>
                </c:pt>
                <c:pt idx="371">
                  <c:v>16.965282440185501</c:v>
                </c:pt>
                <c:pt idx="372">
                  <c:v>20.554725646972699</c:v>
                </c:pt>
                <c:pt idx="373">
                  <c:v>13.547269821166999</c:v>
                </c:pt>
                <c:pt idx="374">
                  <c:v>14.5403709411621</c:v>
                </c:pt>
                <c:pt idx="375">
                  <c:v>17.406356811523398</c:v>
                </c:pt>
                <c:pt idx="376">
                  <c:v>12.133440017700201</c:v>
                </c:pt>
                <c:pt idx="377">
                  <c:v>13.0069427490234</c:v>
                </c:pt>
                <c:pt idx="378">
                  <c:v>13.797681808471699</c:v>
                </c:pt>
                <c:pt idx="379">
                  <c:v>13.837394714355501</c:v>
                </c:pt>
                <c:pt idx="380">
                  <c:v>17.062202453613299</c:v>
                </c:pt>
                <c:pt idx="381">
                  <c:v>14.709205627441399</c:v>
                </c:pt>
                <c:pt idx="382">
                  <c:v>29.1455898284912</c:v>
                </c:pt>
                <c:pt idx="383">
                  <c:v>29.586986541748001</c:v>
                </c:pt>
                <c:pt idx="384">
                  <c:v>24.961597442626999</c:v>
                </c:pt>
                <c:pt idx="385">
                  <c:v>25.693353652954102</c:v>
                </c:pt>
                <c:pt idx="386">
                  <c:v>28.687623977661101</c:v>
                </c:pt>
                <c:pt idx="387">
                  <c:v>22.483201980590799</c:v>
                </c:pt>
                <c:pt idx="388">
                  <c:v>24.850339889526399</c:v>
                </c:pt>
                <c:pt idx="389">
                  <c:v>23.983903884887699</c:v>
                </c:pt>
                <c:pt idx="390">
                  <c:v>32.014503479003899</c:v>
                </c:pt>
                <c:pt idx="391">
                  <c:v>21.5687770843506</c:v>
                </c:pt>
                <c:pt idx="392">
                  <c:v>5.27545166015625</c:v>
                </c:pt>
                <c:pt idx="393">
                  <c:v>7.6003174781799299</c:v>
                </c:pt>
                <c:pt idx="394">
                  <c:v>8.3906126022338903</c:v>
                </c:pt>
                <c:pt idx="395">
                  <c:v>2.2102460861206099</c:v>
                </c:pt>
                <c:pt idx="396">
                  <c:v>3.0287299156189</c:v>
                </c:pt>
                <c:pt idx="397">
                  <c:v>1.9080952405929601</c:v>
                </c:pt>
                <c:pt idx="398">
                  <c:v>9.4513435363769496</c:v>
                </c:pt>
                <c:pt idx="399">
                  <c:v>5.0286531448364302</c:v>
                </c:pt>
                <c:pt idx="400">
                  <c:v>4.2818312644958496</c:v>
                </c:pt>
                <c:pt idx="401">
                  <c:v>3.67012643814087</c:v>
                </c:pt>
                <c:pt idx="402">
                  <c:v>3.3223969936370898</c:v>
                </c:pt>
                <c:pt idx="403">
                  <c:v>3.10292649269104</c:v>
                </c:pt>
                <c:pt idx="404">
                  <c:v>14.829709053039601</c:v>
                </c:pt>
                <c:pt idx="405">
                  <c:v>3.1085188388824498</c:v>
                </c:pt>
                <c:pt idx="406">
                  <c:v>2.1134305000305198</c:v>
                </c:pt>
                <c:pt idx="407">
                  <c:v>2.91533327102661</c:v>
                </c:pt>
                <c:pt idx="408">
                  <c:v>3.4605119228363002</c:v>
                </c:pt>
                <c:pt idx="409">
                  <c:v>2.1765878200531001</c:v>
                </c:pt>
                <c:pt idx="410">
                  <c:v>2.5710477828979501</c:v>
                </c:pt>
                <c:pt idx="411">
                  <c:v>5.1613750457763699</c:v>
                </c:pt>
                <c:pt idx="412">
                  <c:v>3.32182836532593</c:v>
                </c:pt>
                <c:pt idx="413">
                  <c:v>3.9009268283843999</c:v>
                </c:pt>
                <c:pt idx="414">
                  <c:v>2.53601145744324</c:v>
                </c:pt>
                <c:pt idx="415">
                  <c:v>2.25711274147034</c:v>
                </c:pt>
                <c:pt idx="416">
                  <c:v>8.5909538269043004</c:v>
                </c:pt>
              </c:numCache>
            </c:numRef>
          </c:xVal>
          <c:yVal>
            <c:numRef>
              <c:f>GageUnc!$E$2:$E$418</c:f>
              <c:numCache>
                <c:formatCode>General</c:formatCode>
                <c:ptCount val="417"/>
                <c:pt idx="0">
                  <c:v>3.7</c:v>
                </c:pt>
                <c:pt idx="1">
                  <c:v>3.86</c:v>
                </c:pt>
                <c:pt idx="2">
                  <c:v>3.49</c:v>
                </c:pt>
                <c:pt idx="3">
                  <c:v>3.57</c:v>
                </c:pt>
                <c:pt idx="4">
                  <c:v>2.92</c:v>
                </c:pt>
                <c:pt idx="5">
                  <c:v>3.8</c:v>
                </c:pt>
                <c:pt idx="6">
                  <c:v>3.43</c:v>
                </c:pt>
                <c:pt idx="7">
                  <c:v>3.54</c:v>
                </c:pt>
                <c:pt idx="8">
                  <c:v>4.09</c:v>
                </c:pt>
                <c:pt idx="9">
                  <c:v>2.96</c:v>
                </c:pt>
                <c:pt idx="10">
                  <c:v>3.55</c:v>
                </c:pt>
                <c:pt idx="11">
                  <c:v>5.41</c:v>
                </c:pt>
                <c:pt idx="12">
                  <c:v>1.49</c:v>
                </c:pt>
                <c:pt idx="13">
                  <c:v>1.89</c:v>
                </c:pt>
                <c:pt idx="14">
                  <c:v>2.06</c:v>
                </c:pt>
                <c:pt idx="15">
                  <c:v>3.22</c:v>
                </c:pt>
                <c:pt idx="16">
                  <c:v>2.16</c:v>
                </c:pt>
                <c:pt idx="17">
                  <c:v>2.13</c:v>
                </c:pt>
                <c:pt idx="18">
                  <c:v>2.44</c:v>
                </c:pt>
                <c:pt idx="19">
                  <c:v>2.16</c:v>
                </c:pt>
                <c:pt idx="20">
                  <c:v>2.38</c:v>
                </c:pt>
                <c:pt idx="21">
                  <c:v>1.89</c:v>
                </c:pt>
                <c:pt idx="22">
                  <c:v>2</c:v>
                </c:pt>
                <c:pt idx="23">
                  <c:v>1.91</c:v>
                </c:pt>
                <c:pt idx="24">
                  <c:v>2.12</c:v>
                </c:pt>
                <c:pt idx="25">
                  <c:v>2.31</c:v>
                </c:pt>
                <c:pt idx="26">
                  <c:v>2.4900000000000002</c:v>
                </c:pt>
                <c:pt idx="27">
                  <c:v>1.97</c:v>
                </c:pt>
                <c:pt idx="28">
                  <c:v>1.95</c:v>
                </c:pt>
                <c:pt idx="29">
                  <c:v>2.2000000000000002</c:v>
                </c:pt>
                <c:pt idx="30">
                  <c:v>1.88</c:v>
                </c:pt>
                <c:pt idx="31">
                  <c:v>1.84</c:v>
                </c:pt>
                <c:pt idx="32">
                  <c:v>1.69</c:v>
                </c:pt>
                <c:pt idx="33">
                  <c:v>1.91</c:v>
                </c:pt>
                <c:pt idx="34">
                  <c:v>2.11</c:v>
                </c:pt>
                <c:pt idx="35">
                  <c:v>2.5</c:v>
                </c:pt>
                <c:pt idx="36">
                  <c:v>2.12</c:v>
                </c:pt>
                <c:pt idx="37">
                  <c:v>1.78</c:v>
                </c:pt>
                <c:pt idx="38">
                  <c:v>1.66</c:v>
                </c:pt>
                <c:pt idx="39">
                  <c:v>2.5099999999999998</c:v>
                </c:pt>
                <c:pt idx="40">
                  <c:v>5.49</c:v>
                </c:pt>
                <c:pt idx="41">
                  <c:v>2.64</c:v>
                </c:pt>
                <c:pt idx="42">
                  <c:v>4.4000000000000004</c:v>
                </c:pt>
                <c:pt idx="43">
                  <c:v>2.54</c:v>
                </c:pt>
                <c:pt idx="44">
                  <c:v>1.96</c:v>
                </c:pt>
                <c:pt idx="45">
                  <c:v>2.15</c:v>
                </c:pt>
                <c:pt idx="46">
                  <c:v>2.94</c:v>
                </c:pt>
                <c:pt idx="47">
                  <c:v>1.49</c:v>
                </c:pt>
                <c:pt idx="48">
                  <c:v>1.61</c:v>
                </c:pt>
                <c:pt idx="49">
                  <c:v>1.82</c:v>
                </c:pt>
                <c:pt idx="50">
                  <c:v>2.09</c:v>
                </c:pt>
                <c:pt idx="51">
                  <c:v>3.77</c:v>
                </c:pt>
                <c:pt idx="52">
                  <c:v>3.74</c:v>
                </c:pt>
                <c:pt idx="53">
                  <c:v>2.76</c:v>
                </c:pt>
                <c:pt idx="54">
                  <c:v>1.81</c:v>
                </c:pt>
                <c:pt idx="55">
                  <c:v>3.14</c:v>
                </c:pt>
                <c:pt idx="56">
                  <c:v>6.08</c:v>
                </c:pt>
                <c:pt idx="57">
                  <c:v>3.2</c:v>
                </c:pt>
                <c:pt idx="58">
                  <c:v>4.6500000000000004</c:v>
                </c:pt>
                <c:pt idx="59">
                  <c:v>2.58</c:v>
                </c:pt>
                <c:pt idx="60">
                  <c:v>2.09</c:v>
                </c:pt>
                <c:pt idx="61">
                  <c:v>2.2999999999999998</c:v>
                </c:pt>
                <c:pt idx="62">
                  <c:v>3.24</c:v>
                </c:pt>
                <c:pt idx="63">
                  <c:v>1.97</c:v>
                </c:pt>
                <c:pt idx="64">
                  <c:v>1.78</c:v>
                </c:pt>
                <c:pt idx="65">
                  <c:v>1.96</c:v>
                </c:pt>
                <c:pt idx="66">
                  <c:v>2.13</c:v>
                </c:pt>
                <c:pt idx="67">
                  <c:v>2.84</c:v>
                </c:pt>
                <c:pt idx="68">
                  <c:v>4.5</c:v>
                </c:pt>
                <c:pt idx="69">
                  <c:v>6.07</c:v>
                </c:pt>
                <c:pt idx="70">
                  <c:v>1.79</c:v>
                </c:pt>
                <c:pt idx="71">
                  <c:v>3.78</c:v>
                </c:pt>
                <c:pt idx="72">
                  <c:v>9.9499999999999993</c:v>
                </c:pt>
                <c:pt idx="73">
                  <c:v>2.09</c:v>
                </c:pt>
                <c:pt idx="74">
                  <c:v>2.2999999999999998</c:v>
                </c:pt>
                <c:pt idx="75">
                  <c:v>6</c:v>
                </c:pt>
                <c:pt idx="76">
                  <c:v>1.96</c:v>
                </c:pt>
                <c:pt idx="77">
                  <c:v>1.84</c:v>
                </c:pt>
                <c:pt idx="78">
                  <c:v>2.0299999999999998</c:v>
                </c:pt>
                <c:pt idx="79">
                  <c:v>3.18</c:v>
                </c:pt>
                <c:pt idx="80">
                  <c:v>3.11</c:v>
                </c:pt>
                <c:pt idx="81">
                  <c:v>8.14</c:v>
                </c:pt>
                <c:pt idx="82">
                  <c:v>7.29</c:v>
                </c:pt>
                <c:pt idx="83">
                  <c:v>3.1</c:v>
                </c:pt>
                <c:pt idx="84">
                  <c:v>7.29</c:v>
                </c:pt>
                <c:pt idx="85">
                  <c:v>10.25</c:v>
                </c:pt>
                <c:pt idx="86">
                  <c:v>6.01</c:v>
                </c:pt>
                <c:pt idx="87">
                  <c:v>7.85</c:v>
                </c:pt>
                <c:pt idx="88">
                  <c:v>2.96</c:v>
                </c:pt>
                <c:pt idx="89">
                  <c:v>4.4800000000000004</c:v>
                </c:pt>
                <c:pt idx="90">
                  <c:v>3.09</c:v>
                </c:pt>
                <c:pt idx="91">
                  <c:v>6.21</c:v>
                </c:pt>
                <c:pt idx="92">
                  <c:v>5.05</c:v>
                </c:pt>
                <c:pt idx="93">
                  <c:v>3.95</c:v>
                </c:pt>
                <c:pt idx="94">
                  <c:v>3.23</c:v>
                </c:pt>
                <c:pt idx="95">
                  <c:v>5.05</c:v>
                </c:pt>
                <c:pt idx="96">
                  <c:v>4.4000000000000004</c:v>
                </c:pt>
                <c:pt idx="97">
                  <c:v>8.0500000000000007</c:v>
                </c:pt>
                <c:pt idx="98">
                  <c:v>3.09</c:v>
                </c:pt>
                <c:pt idx="99">
                  <c:v>1.56</c:v>
                </c:pt>
                <c:pt idx="100">
                  <c:v>3.21</c:v>
                </c:pt>
                <c:pt idx="101">
                  <c:v>5.13</c:v>
                </c:pt>
                <c:pt idx="102">
                  <c:v>2.83</c:v>
                </c:pt>
                <c:pt idx="103">
                  <c:v>3.85</c:v>
                </c:pt>
                <c:pt idx="104">
                  <c:v>2.8</c:v>
                </c:pt>
                <c:pt idx="105">
                  <c:v>2.4900000000000002</c:v>
                </c:pt>
                <c:pt idx="106">
                  <c:v>2.0699999999999998</c:v>
                </c:pt>
                <c:pt idx="107">
                  <c:v>3.07</c:v>
                </c:pt>
                <c:pt idx="108">
                  <c:v>2.6</c:v>
                </c:pt>
                <c:pt idx="109">
                  <c:v>2.4900000000000002</c:v>
                </c:pt>
                <c:pt idx="110">
                  <c:v>3.08</c:v>
                </c:pt>
                <c:pt idx="111">
                  <c:v>2.31</c:v>
                </c:pt>
                <c:pt idx="112">
                  <c:v>2.54</c:v>
                </c:pt>
                <c:pt idx="113">
                  <c:v>4.24</c:v>
                </c:pt>
                <c:pt idx="114">
                  <c:v>6.55</c:v>
                </c:pt>
                <c:pt idx="115">
                  <c:v>1.59</c:v>
                </c:pt>
                <c:pt idx="116">
                  <c:v>5.94</c:v>
                </c:pt>
                <c:pt idx="117">
                  <c:v>7.96</c:v>
                </c:pt>
                <c:pt idx="118">
                  <c:v>4.95</c:v>
                </c:pt>
                <c:pt idx="119">
                  <c:v>7.62</c:v>
                </c:pt>
                <c:pt idx="120">
                  <c:v>2.77</c:v>
                </c:pt>
                <c:pt idx="121">
                  <c:v>2.58</c:v>
                </c:pt>
                <c:pt idx="122">
                  <c:v>1.98</c:v>
                </c:pt>
                <c:pt idx="123">
                  <c:v>4.82</c:v>
                </c:pt>
                <c:pt idx="124">
                  <c:v>4.29</c:v>
                </c:pt>
                <c:pt idx="125">
                  <c:v>2.4700000000000002</c:v>
                </c:pt>
                <c:pt idx="126">
                  <c:v>2.85</c:v>
                </c:pt>
                <c:pt idx="127">
                  <c:v>2.34</c:v>
                </c:pt>
                <c:pt idx="128">
                  <c:v>2.89</c:v>
                </c:pt>
                <c:pt idx="129">
                  <c:v>7.58</c:v>
                </c:pt>
                <c:pt idx="130">
                  <c:v>3.8500000000000005</c:v>
                </c:pt>
                <c:pt idx="131">
                  <c:v>1.46</c:v>
                </c:pt>
                <c:pt idx="132">
                  <c:v>4.41</c:v>
                </c:pt>
                <c:pt idx="133">
                  <c:v>6.1000000000000005</c:v>
                </c:pt>
                <c:pt idx="134">
                  <c:v>3.4299999999999997</c:v>
                </c:pt>
                <c:pt idx="135">
                  <c:v>2.9400000000000004</c:v>
                </c:pt>
                <c:pt idx="136">
                  <c:v>3.08</c:v>
                </c:pt>
                <c:pt idx="137">
                  <c:v>3.42</c:v>
                </c:pt>
                <c:pt idx="138">
                  <c:v>2.39</c:v>
                </c:pt>
                <c:pt idx="139">
                  <c:v>2.6900000000000004</c:v>
                </c:pt>
                <c:pt idx="140">
                  <c:v>3.1799999999999997</c:v>
                </c:pt>
                <c:pt idx="141">
                  <c:v>3.41</c:v>
                </c:pt>
                <c:pt idx="142">
                  <c:v>3.91</c:v>
                </c:pt>
                <c:pt idx="143">
                  <c:v>2.7700000000000005</c:v>
                </c:pt>
                <c:pt idx="144">
                  <c:v>2.33</c:v>
                </c:pt>
                <c:pt idx="145">
                  <c:v>5.82</c:v>
                </c:pt>
                <c:pt idx="146">
                  <c:v>2.41</c:v>
                </c:pt>
                <c:pt idx="147">
                  <c:v>2.46</c:v>
                </c:pt>
                <c:pt idx="148">
                  <c:v>3.12</c:v>
                </c:pt>
                <c:pt idx="149">
                  <c:v>2.12</c:v>
                </c:pt>
                <c:pt idx="150">
                  <c:v>2.1</c:v>
                </c:pt>
                <c:pt idx="151">
                  <c:v>4.07</c:v>
                </c:pt>
                <c:pt idx="152">
                  <c:v>3.9799999999999995</c:v>
                </c:pt>
                <c:pt idx="153">
                  <c:v>1.33</c:v>
                </c:pt>
                <c:pt idx="154">
                  <c:v>4.24</c:v>
                </c:pt>
                <c:pt idx="155">
                  <c:v>5.96</c:v>
                </c:pt>
                <c:pt idx="156">
                  <c:v>3.2199999999999998</c:v>
                </c:pt>
                <c:pt idx="157">
                  <c:v>2.98</c:v>
                </c:pt>
                <c:pt idx="158">
                  <c:v>2.78</c:v>
                </c:pt>
                <c:pt idx="159">
                  <c:v>3.01</c:v>
                </c:pt>
                <c:pt idx="160">
                  <c:v>2.0499999999999998</c:v>
                </c:pt>
                <c:pt idx="161">
                  <c:v>2.38</c:v>
                </c:pt>
                <c:pt idx="162">
                  <c:v>2.82</c:v>
                </c:pt>
                <c:pt idx="163">
                  <c:v>3.07</c:v>
                </c:pt>
                <c:pt idx="164">
                  <c:v>3.54</c:v>
                </c:pt>
                <c:pt idx="165">
                  <c:v>2.4499999999999997</c:v>
                </c:pt>
                <c:pt idx="166">
                  <c:v>2.0699999999999998</c:v>
                </c:pt>
                <c:pt idx="167">
                  <c:v>4.99</c:v>
                </c:pt>
                <c:pt idx="168">
                  <c:v>3.64</c:v>
                </c:pt>
                <c:pt idx="169">
                  <c:v>3.63</c:v>
                </c:pt>
                <c:pt idx="170">
                  <c:v>2.78</c:v>
                </c:pt>
                <c:pt idx="171">
                  <c:v>3.5</c:v>
                </c:pt>
                <c:pt idx="172">
                  <c:v>2.15</c:v>
                </c:pt>
                <c:pt idx="173">
                  <c:v>2.89</c:v>
                </c:pt>
                <c:pt idx="174">
                  <c:v>3.08</c:v>
                </c:pt>
                <c:pt idx="175">
                  <c:v>3.2</c:v>
                </c:pt>
                <c:pt idx="176">
                  <c:v>3.64</c:v>
                </c:pt>
                <c:pt idx="177">
                  <c:v>3.86</c:v>
                </c:pt>
                <c:pt idx="178">
                  <c:v>2.25</c:v>
                </c:pt>
                <c:pt idx="179">
                  <c:v>5.19</c:v>
                </c:pt>
                <c:pt idx="180">
                  <c:v>7.98</c:v>
                </c:pt>
                <c:pt idx="181">
                  <c:v>1.91</c:v>
                </c:pt>
                <c:pt idx="182">
                  <c:v>5.25</c:v>
                </c:pt>
                <c:pt idx="183">
                  <c:v>8.9499999999999993</c:v>
                </c:pt>
                <c:pt idx="184">
                  <c:v>5.28</c:v>
                </c:pt>
                <c:pt idx="185">
                  <c:v>6.31</c:v>
                </c:pt>
                <c:pt idx="186">
                  <c:v>3.27</c:v>
                </c:pt>
                <c:pt idx="187">
                  <c:v>4.05</c:v>
                </c:pt>
                <c:pt idx="188">
                  <c:v>2.66</c:v>
                </c:pt>
                <c:pt idx="189">
                  <c:v>5.07</c:v>
                </c:pt>
                <c:pt idx="190">
                  <c:v>3.37</c:v>
                </c:pt>
                <c:pt idx="191">
                  <c:v>3.81</c:v>
                </c:pt>
                <c:pt idx="192">
                  <c:v>4.16</c:v>
                </c:pt>
                <c:pt idx="193">
                  <c:v>4.4400000000000004</c:v>
                </c:pt>
                <c:pt idx="194">
                  <c:v>2.88</c:v>
                </c:pt>
                <c:pt idx="195">
                  <c:v>7.24</c:v>
                </c:pt>
                <c:pt idx="196">
                  <c:v>8.3600000000000012</c:v>
                </c:pt>
                <c:pt idx="197">
                  <c:v>1.3299999999999998</c:v>
                </c:pt>
                <c:pt idx="198">
                  <c:v>4.7699999999999996</c:v>
                </c:pt>
                <c:pt idx="199">
                  <c:v>7.56</c:v>
                </c:pt>
                <c:pt idx="200">
                  <c:v>3.59</c:v>
                </c:pt>
                <c:pt idx="201">
                  <c:v>3.5199999999999996</c:v>
                </c:pt>
                <c:pt idx="202">
                  <c:v>2.8</c:v>
                </c:pt>
                <c:pt idx="203">
                  <c:v>3.5999999999999996</c:v>
                </c:pt>
                <c:pt idx="204">
                  <c:v>2.17</c:v>
                </c:pt>
                <c:pt idx="205">
                  <c:v>2.67</c:v>
                </c:pt>
                <c:pt idx="206">
                  <c:v>3.13</c:v>
                </c:pt>
                <c:pt idx="207">
                  <c:v>3.2299999999999995</c:v>
                </c:pt>
                <c:pt idx="208">
                  <c:v>3.63</c:v>
                </c:pt>
                <c:pt idx="209">
                  <c:v>4.0599999999999996</c:v>
                </c:pt>
                <c:pt idx="210">
                  <c:v>2.2400000000000002</c:v>
                </c:pt>
                <c:pt idx="211">
                  <c:v>5.2399999999999993</c:v>
                </c:pt>
                <c:pt idx="212">
                  <c:v>11.41</c:v>
                </c:pt>
                <c:pt idx="213">
                  <c:v>6.85</c:v>
                </c:pt>
                <c:pt idx="214">
                  <c:v>10.579999999999998</c:v>
                </c:pt>
                <c:pt idx="215">
                  <c:v>5.26</c:v>
                </c:pt>
                <c:pt idx="216">
                  <c:v>6.37</c:v>
                </c:pt>
                <c:pt idx="217">
                  <c:v>2.79</c:v>
                </c:pt>
                <c:pt idx="218">
                  <c:v>7.65</c:v>
                </c:pt>
                <c:pt idx="219">
                  <c:v>2.25</c:v>
                </c:pt>
                <c:pt idx="220">
                  <c:v>5.6</c:v>
                </c:pt>
                <c:pt idx="221">
                  <c:v>7.13</c:v>
                </c:pt>
                <c:pt idx="222">
                  <c:v>3.88</c:v>
                </c:pt>
                <c:pt idx="223">
                  <c:v>3.61</c:v>
                </c:pt>
                <c:pt idx="224">
                  <c:v>6.56</c:v>
                </c:pt>
                <c:pt idx="225">
                  <c:v>3.48</c:v>
                </c:pt>
                <c:pt idx="226">
                  <c:v>8.1900000000000013</c:v>
                </c:pt>
                <c:pt idx="227">
                  <c:v>12.08</c:v>
                </c:pt>
                <c:pt idx="228">
                  <c:v>1.51</c:v>
                </c:pt>
                <c:pt idx="229">
                  <c:v>5.8999999999999995</c:v>
                </c:pt>
                <c:pt idx="230">
                  <c:v>9.48</c:v>
                </c:pt>
                <c:pt idx="231">
                  <c:v>4.55</c:v>
                </c:pt>
                <c:pt idx="232">
                  <c:v>4.41</c:v>
                </c:pt>
                <c:pt idx="233">
                  <c:v>3</c:v>
                </c:pt>
                <c:pt idx="234">
                  <c:v>5.3199999999999994</c:v>
                </c:pt>
                <c:pt idx="235">
                  <c:v>2.2400000000000002</c:v>
                </c:pt>
                <c:pt idx="236">
                  <c:v>3.2399999999999993</c:v>
                </c:pt>
                <c:pt idx="237">
                  <c:v>3.58</c:v>
                </c:pt>
                <c:pt idx="238">
                  <c:v>3.7199999999999998</c:v>
                </c:pt>
                <c:pt idx="239">
                  <c:v>6.72</c:v>
                </c:pt>
                <c:pt idx="240">
                  <c:v>2.6100000000000003</c:v>
                </c:pt>
                <c:pt idx="241">
                  <c:v>5.68</c:v>
                </c:pt>
                <c:pt idx="242">
                  <c:v>16.61</c:v>
                </c:pt>
                <c:pt idx="243">
                  <c:v>6.7</c:v>
                </c:pt>
                <c:pt idx="244">
                  <c:v>14.15</c:v>
                </c:pt>
                <c:pt idx="245">
                  <c:v>12.58</c:v>
                </c:pt>
                <c:pt idx="246">
                  <c:v>11.79</c:v>
                </c:pt>
                <c:pt idx="247">
                  <c:v>6.94</c:v>
                </c:pt>
                <c:pt idx="248">
                  <c:v>16.5</c:v>
                </c:pt>
                <c:pt idx="249">
                  <c:v>6.89</c:v>
                </c:pt>
                <c:pt idx="250">
                  <c:v>9.36</c:v>
                </c:pt>
                <c:pt idx="251">
                  <c:v>12.03</c:v>
                </c:pt>
                <c:pt idx="252">
                  <c:v>10.81</c:v>
                </c:pt>
                <c:pt idx="253">
                  <c:v>7.1</c:v>
                </c:pt>
                <c:pt idx="254">
                  <c:v>18.829999999999998</c:v>
                </c:pt>
                <c:pt idx="255">
                  <c:v>10.7</c:v>
                </c:pt>
                <c:pt idx="256">
                  <c:v>12.03</c:v>
                </c:pt>
                <c:pt idx="257">
                  <c:v>23.93</c:v>
                </c:pt>
                <c:pt idx="258">
                  <c:v>17.399999999999999</c:v>
                </c:pt>
                <c:pt idx="259">
                  <c:v>22.44</c:v>
                </c:pt>
                <c:pt idx="260">
                  <c:v>23.91</c:v>
                </c:pt>
                <c:pt idx="261">
                  <c:v>23.11</c:v>
                </c:pt>
                <c:pt idx="262">
                  <c:v>18.43</c:v>
                </c:pt>
                <c:pt idx="263">
                  <c:v>15.95</c:v>
                </c:pt>
                <c:pt idx="264">
                  <c:v>16.18</c:v>
                </c:pt>
                <c:pt idx="265">
                  <c:v>16.97</c:v>
                </c:pt>
                <c:pt idx="266">
                  <c:v>18.489999999999998</c:v>
                </c:pt>
                <c:pt idx="267">
                  <c:v>18.760000000000002</c:v>
                </c:pt>
                <c:pt idx="268">
                  <c:v>16.899999999999999</c:v>
                </c:pt>
                <c:pt idx="269">
                  <c:v>27.5</c:v>
                </c:pt>
                <c:pt idx="270">
                  <c:v>19.760000000000002</c:v>
                </c:pt>
                <c:pt idx="271">
                  <c:v>18.41</c:v>
                </c:pt>
                <c:pt idx="272">
                  <c:v>11.28</c:v>
                </c:pt>
                <c:pt idx="273">
                  <c:v>2.36</c:v>
                </c:pt>
                <c:pt idx="274">
                  <c:v>5.27</c:v>
                </c:pt>
                <c:pt idx="275">
                  <c:v>6.35</c:v>
                </c:pt>
                <c:pt idx="276">
                  <c:v>5.67</c:v>
                </c:pt>
                <c:pt idx="277">
                  <c:v>4.1100000000000003</c:v>
                </c:pt>
                <c:pt idx="278">
                  <c:v>11.27</c:v>
                </c:pt>
                <c:pt idx="279">
                  <c:v>4.18</c:v>
                </c:pt>
                <c:pt idx="280">
                  <c:v>8.1300000000000008</c:v>
                </c:pt>
                <c:pt idx="281">
                  <c:v>20.6</c:v>
                </c:pt>
                <c:pt idx="282">
                  <c:v>16.03</c:v>
                </c:pt>
                <c:pt idx="283">
                  <c:v>20.23</c:v>
                </c:pt>
                <c:pt idx="284">
                  <c:v>17.79</c:v>
                </c:pt>
                <c:pt idx="285">
                  <c:v>16.350000000000001</c:v>
                </c:pt>
                <c:pt idx="286">
                  <c:v>10.62</c:v>
                </c:pt>
                <c:pt idx="287">
                  <c:v>19.41</c:v>
                </c:pt>
                <c:pt idx="288">
                  <c:v>12.45</c:v>
                </c:pt>
                <c:pt idx="289">
                  <c:v>12.48</c:v>
                </c:pt>
                <c:pt idx="290">
                  <c:v>15.95</c:v>
                </c:pt>
                <c:pt idx="291">
                  <c:v>15.66</c:v>
                </c:pt>
                <c:pt idx="292">
                  <c:v>10.43</c:v>
                </c:pt>
                <c:pt idx="293">
                  <c:v>24.6</c:v>
                </c:pt>
                <c:pt idx="294">
                  <c:v>14.76</c:v>
                </c:pt>
                <c:pt idx="295">
                  <c:v>13.24</c:v>
                </c:pt>
                <c:pt idx="296">
                  <c:v>37.819999999999993</c:v>
                </c:pt>
                <c:pt idx="297">
                  <c:v>35.56</c:v>
                </c:pt>
                <c:pt idx="298">
                  <c:v>33.200000000000003</c:v>
                </c:pt>
                <c:pt idx="299">
                  <c:v>36.89</c:v>
                </c:pt>
                <c:pt idx="300">
                  <c:v>32.379999999999995</c:v>
                </c:pt>
                <c:pt idx="301">
                  <c:v>31.220000000000002</c:v>
                </c:pt>
                <c:pt idx="302">
                  <c:v>35.840000000000003</c:v>
                </c:pt>
                <c:pt idx="303">
                  <c:v>31.41</c:v>
                </c:pt>
                <c:pt idx="304">
                  <c:v>31.16</c:v>
                </c:pt>
                <c:pt idx="305">
                  <c:v>32.340000000000003</c:v>
                </c:pt>
                <c:pt idx="306">
                  <c:v>34.269999999999996</c:v>
                </c:pt>
                <c:pt idx="307">
                  <c:v>30.84</c:v>
                </c:pt>
                <c:pt idx="308">
                  <c:v>39.92</c:v>
                </c:pt>
                <c:pt idx="309">
                  <c:v>32.950000000000003</c:v>
                </c:pt>
                <c:pt idx="310">
                  <c:v>34.180000000000007</c:v>
                </c:pt>
                <c:pt idx="311">
                  <c:v>11.13</c:v>
                </c:pt>
                <c:pt idx="312">
                  <c:v>6.58</c:v>
                </c:pt>
                <c:pt idx="313">
                  <c:v>11.04</c:v>
                </c:pt>
                <c:pt idx="314">
                  <c:v>12.49</c:v>
                </c:pt>
                <c:pt idx="315">
                  <c:v>8.6199999999999992</c:v>
                </c:pt>
                <c:pt idx="316">
                  <c:v>9.32</c:v>
                </c:pt>
                <c:pt idx="317">
                  <c:v>12.29</c:v>
                </c:pt>
                <c:pt idx="318">
                  <c:v>7.2</c:v>
                </c:pt>
                <c:pt idx="319">
                  <c:v>9.27</c:v>
                </c:pt>
                <c:pt idx="320">
                  <c:v>6.38</c:v>
                </c:pt>
                <c:pt idx="321">
                  <c:v>4.74</c:v>
                </c:pt>
                <c:pt idx="322">
                  <c:v>7.66</c:v>
                </c:pt>
                <c:pt idx="323">
                  <c:v>4.1399999999999997</c:v>
                </c:pt>
                <c:pt idx="324">
                  <c:v>7.84</c:v>
                </c:pt>
                <c:pt idx="325">
                  <c:v>3.79</c:v>
                </c:pt>
                <c:pt idx="326">
                  <c:v>2.19</c:v>
                </c:pt>
                <c:pt idx="327">
                  <c:v>3.6500000000000004</c:v>
                </c:pt>
                <c:pt idx="328">
                  <c:v>5.93</c:v>
                </c:pt>
                <c:pt idx="329">
                  <c:v>4.28</c:v>
                </c:pt>
                <c:pt idx="330">
                  <c:v>2.59</c:v>
                </c:pt>
                <c:pt idx="331">
                  <c:v>4.01</c:v>
                </c:pt>
                <c:pt idx="332">
                  <c:v>2.68</c:v>
                </c:pt>
                <c:pt idx="333">
                  <c:v>4.03</c:v>
                </c:pt>
                <c:pt idx="334">
                  <c:v>5.07</c:v>
                </c:pt>
                <c:pt idx="335">
                  <c:v>3.16</c:v>
                </c:pt>
                <c:pt idx="336">
                  <c:v>2.7</c:v>
                </c:pt>
                <c:pt idx="337">
                  <c:v>3.14</c:v>
                </c:pt>
                <c:pt idx="338">
                  <c:v>3.26</c:v>
                </c:pt>
                <c:pt idx="339">
                  <c:v>4.5</c:v>
                </c:pt>
                <c:pt idx="340">
                  <c:v>9.76</c:v>
                </c:pt>
                <c:pt idx="341">
                  <c:v>1.58</c:v>
                </c:pt>
                <c:pt idx="342">
                  <c:v>8.15</c:v>
                </c:pt>
                <c:pt idx="343">
                  <c:v>10.039999999999999</c:v>
                </c:pt>
                <c:pt idx="344">
                  <c:v>6.63</c:v>
                </c:pt>
                <c:pt idx="345">
                  <c:v>6.84</c:v>
                </c:pt>
                <c:pt idx="346">
                  <c:v>2.94</c:v>
                </c:pt>
                <c:pt idx="347">
                  <c:v>8.77</c:v>
                </c:pt>
                <c:pt idx="348">
                  <c:v>2.33</c:v>
                </c:pt>
                <c:pt idx="349">
                  <c:v>4.95</c:v>
                </c:pt>
                <c:pt idx="350">
                  <c:v>5.78</c:v>
                </c:pt>
                <c:pt idx="351">
                  <c:v>4.9800000000000004</c:v>
                </c:pt>
                <c:pt idx="352">
                  <c:v>3.96</c:v>
                </c:pt>
                <c:pt idx="353">
                  <c:v>7.8800000000000008</c:v>
                </c:pt>
                <c:pt idx="354">
                  <c:v>3.34</c:v>
                </c:pt>
                <c:pt idx="355">
                  <c:v>6.82</c:v>
                </c:pt>
                <c:pt idx="356">
                  <c:v>1.5299999999999998</c:v>
                </c:pt>
                <c:pt idx="357">
                  <c:v>5.24</c:v>
                </c:pt>
                <c:pt idx="358">
                  <c:v>7.52</c:v>
                </c:pt>
                <c:pt idx="359">
                  <c:v>6.08</c:v>
                </c:pt>
                <c:pt idx="360">
                  <c:v>3.07</c:v>
                </c:pt>
                <c:pt idx="361">
                  <c:v>6.21</c:v>
                </c:pt>
                <c:pt idx="362">
                  <c:v>2.34</c:v>
                </c:pt>
                <c:pt idx="363">
                  <c:v>4.58</c:v>
                </c:pt>
                <c:pt idx="364">
                  <c:v>5.43</c:v>
                </c:pt>
                <c:pt idx="365">
                  <c:v>3.6100000000000003</c:v>
                </c:pt>
                <c:pt idx="366">
                  <c:v>2.89</c:v>
                </c:pt>
                <c:pt idx="367">
                  <c:v>3.08</c:v>
                </c:pt>
                <c:pt idx="368">
                  <c:v>3.32</c:v>
                </c:pt>
                <c:pt idx="369">
                  <c:v>5.89</c:v>
                </c:pt>
                <c:pt idx="370">
                  <c:v>21.89</c:v>
                </c:pt>
                <c:pt idx="371">
                  <c:v>13.88</c:v>
                </c:pt>
                <c:pt idx="372">
                  <c:v>16.28</c:v>
                </c:pt>
                <c:pt idx="373">
                  <c:v>12.65</c:v>
                </c:pt>
                <c:pt idx="374">
                  <c:v>9.49</c:v>
                </c:pt>
                <c:pt idx="375">
                  <c:v>16.690000000000001</c:v>
                </c:pt>
                <c:pt idx="376">
                  <c:v>8.48</c:v>
                </c:pt>
                <c:pt idx="377">
                  <c:v>9.4499999999999993</c:v>
                </c:pt>
                <c:pt idx="378">
                  <c:v>10.28</c:v>
                </c:pt>
                <c:pt idx="379">
                  <c:v>9.67</c:v>
                </c:pt>
                <c:pt idx="380">
                  <c:v>16.05</c:v>
                </c:pt>
                <c:pt idx="381">
                  <c:v>12.07</c:v>
                </c:pt>
                <c:pt idx="382">
                  <c:v>29.63</c:v>
                </c:pt>
                <c:pt idx="383">
                  <c:v>33.94</c:v>
                </c:pt>
                <c:pt idx="384">
                  <c:v>29.25</c:v>
                </c:pt>
                <c:pt idx="385">
                  <c:v>23.94</c:v>
                </c:pt>
                <c:pt idx="386">
                  <c:v>32.159999999999997</c:v>
                </c:pt>
                <c:pt idx="387">
                  <c:v>22.26</c:v>
                </c:pt>
                <c:pt idx="388">
                  <c:v>25.77</c:v>
                </c:pt>
                <c:pt idx="389">
                  <c:v>25.12</c:v>
                </c:pt>
                <c:pt idx="390">
                  <c:v>35.46</c:v>
                </c:pt>
                <c:pt idx="391">
                  <c:v>26.22</c:v>
                </c:pt>
                <c:pt idx="392">
                  <c:v>6.01</c:v>
                </c:pt>
                <c:pt idx="393">
                  <c:v>8.85</c:v>
                </c:pt>
                <c:pt idx="394">
                  <c:v>11.08</c:v>
                </c:pt>
                <c:pt idx="395">
                  <c:v>3.6799999999999997</c:v>
                </c:pt>
                <c:pt idx="396">
                  <c:v>4.78</c:v>
                </c:pt>
                <c:pt idx="397">
                  <c:v>2.8200000000000003</c:v>
                </c:pt>
                <c:pt idx="398">
                  <c:v>12.15</c:v>
                </c:pt>
                <c:pt idx="399">
                  <c:v>7.3599999999999994</c:v>
                </c:pt>
                <c:pt idx="400">
                  <c:v>5.3800000000000008</c:v>
                </c:pt>
                <c:pt idx="401">
                  <c:v>4.3899999999999997</c:v>
                </c:pt>
                <c:pt idx="402">
                  <c:v>4.45</c:v>
                </c:pt>
                <c:pt idx="403">
                  <c:v>5.03</c:v>
                </c:pt>
                <c:pt idx="404">
                  <c:v>16.64</c:v>
                </c:pt>
                <c:pt idx="405">
                  <c:v>4.6400000000000006</c:v>
                </c:pt>
                <c:pt idx="406">
                  <c:v>3.42</c:v>
                </c:pt>
                <c:pt idx="407">
                  <c:v>3.9099999999999997</c:v>
                </c:pt>
                <c:pt idx="408">
                  <c:v>4.9000000000000004</c:v>
                </c:pt>
                <c:pt idx="409">
                  <c:v>2.69</c:v>
                </c:pt>
                <c:pt idx="410">
                  <c:v>4.12</c:v>
                </c:pt>
                <c:pt idx="411">
                  <c:v>5.08</c:v>
                </c:pt>
                <c:pt idx="412">
                  <c:v>4.2300000000000004</c:v>
                </c:pt>
                <c:pt idx="413">
                  <c:v>4.3600000000000003</c:v>
                </c:pt>
                <c:pt idx="414">
                  <c:v>3.79</c:v>
                </c:pt>
                <c:pt idx="415">
                  <c:v>2.4499999999999997</c:v>
                </c:pt>
                <c:pt idx="416">
                  <c:v>8.66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E5-438B-9B1F-0A0D3A2665CF}"/>
            </c:ext>
          </c:extLst>
        </c:ser>
        <c:ser>
          <c:idx val="1"/>
          <c:order val="1"/>
          <c:tx>
            <c:v>1to1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GageUnc!$K$1:$K$51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GageUnc!$L$1:$L$51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E5-438B-9B1F-0A0D3A2665CF}"/>
            </c:ext>
          </c:extLst>
        </c:ser>
        <c:ser>
          <c:idx val="2"/>
          <c:order val="2"/>
          <c:tx>
            <c:v>+/- 1 RMSE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GageUnc!$K$1:$K$51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GageUnc!$N$1:$N$51</c:f>
              <c:numCache>
                <c:formatCode>0.00</c:formatCode>
                <c:ptCount val="51"/>
                <c:pt idx="0">
                  <c:v>2.098748124421244</c:v>
                </c:pt>
                <c:pt idx="1">
                  <c:v>3.098748124421244</c:v>
                </c:pt>
                <c:pt idx="2">
                  <c:v>4.0987481244212436</c:v>
                </c:pt>
                <c:pt idx="3">
                  <c:v>5.0987481244212436</c:v>
                </c:pt>
                <c:pt idx="4">
                  <c:v>6.0987481244212436</c:v>
                </c:pt>
                <c:pt idx="5">
                  <c:v>7.0987481244212436</c:v>
                </c:pt>
                <c:pt idx="6">
                  <c:v>8.0987481244212436</c:v>
                </c:pt>
                <c:pt idx="7">
                  <c:v>9.0987481244212436</c:v>
                </c:pt>
                <c:pt idx="8">
                  <c:v>10.098748124421244</c:v>
                </c:pt>
                <c:pt idx="9">
                  <c:v>11.098748124421244</c:v>
                </c:pt>
                <c:pt idx="10">
                  <c:v>12.098748124421244</c:v>
                </c:pt>
                <c:pt idx="11">
                  <c:v>13.098748124421244</c:v>
                </c:pt>
                <c:pt idx="12">
                  <c:v>14.098748124421244</c:v>
                </c:pt>
                <c:pt idx="13">
                  <c:v>15.098748124421244</c:v>
                </c:pt>
                <c:pt idx="14">
                  <c:v>16.098748124421245</c:v>
                </c:pt>
                <c:pt idx="15">
                  <c:v>17.098748124421245</c:v>
                </c:pt>
                <c:pt idx="16">
                  <c:v>18.098748124421245</c:v>
                </c:pt>
                <c:pt idx="17">
                  <c:v>19.098748124421245</c:v>
                </c:pt>
                <c:pt idx="18">
                  <c:v>20.098748124421245</c:v>
                </c:pt>
                <c:pt idx="19">
                  <c:v>21.098748124421245</c:v>
                </c:pt>
                <c:pt idx="20">
                  <c:v>22.098748124421245</c:v>
                </c:pt>
                <c:pt idx="21">
                  <c:v>23.098748124421245</c:v>
                </c:pt>
                <c:pt idx="22">
                  <c:v>24.098748124421245</c:v>
                </c:pt>
                <c:pt idx="23">
                  <c:v>25.098748124421245</c:v>
                </c:pt>
                <c:pt idx="24">
                  <c:v>26.098748124421245</c:v>
                </c:pt>
                <c:pt idx="25">
                  <c:v>27.098748124421245</c:v>
                </c:pt>
                <c:pt idx="26">
                  <c:v>28.098748124421245</c:v>
                </c:pt>
                <c:pt idx="27">
                  <c:v>29.098748124421245</c:v>
                </c:pt>
                <c:pt idx="28">
                  <c:v>30.098748124421245</c:v>
                </c:pt>
                <c:pt idx="29">
                  <c:v>31.098748124421245</c:v>
                </c:pt>
                <c:pt idx="30">
                  <c:v>32.098748124421242</c:v>
                </c:pt>
                <c:pt idx="31">
                  <c:v>33.098748124421242</c:v>
                </c:pt>
                <c:pt idx="32">
                  <c:v>34.098748124421242</c:v>
                </c:pt>
                <c:pt idx="33">
                  <c:v>35.098748124421242</c:v>
                </c:pt>
                <c:pt idx="34">
                  <c:v>36.098748124421242</c:v>
                </c:pt>
                <c:pt idx="35">
                  <c:v>37.098748124421242</c:v>
                </c:pt>
                <c:pt idx="36">
                  <c:v>38.098748124421242</c:v>
                </c:pt>
                <c:pt idx="37">
                  <c:v>39.098748124421242</c:v>
                </c:pt>
                <c:pt idx="38">
                  <c:v>40.098748124421242</c:v>
                </c:pt>
                <c:pt idx="39">
                  <c:v>41.098748124421242</c:v>
                </c:pt>
                <c:pt idx="40">
                  <c:v>42.098748124421242</c:v>
                </c:pt>
                <c:pt idx="41">
                  <c:v>43.098748124421242</c:v>
                </c:pt>
                <c:pt idx="42">
                  <c:v>44.098748124421242</c:v>
                </c:pt>
                <c:pt idx="43">
                  <c:v>45.098748124421242</c:v>
                </c:pt>
                <c:pt idx="44">
                  <c:v>46.098748124421242</c:v>
                </c:pt>
                <c:pt idx="45">
                  <c:v>47.098748124421242</c:v>
                </c:pt>
                <c:pt idx="46">
                  <c:v>48.098748124421242</c:v>
                </c:pt>
                <c:pt idx="47">
                  <c:v>49.098748124421242</c:v>
                </c:pt>
                <c:pt idx="48">
                  <c:v>50.098748124421242</c:v>
                </c:pt>
                <c:pt idx="49">
                  <c:v>51.098748124421242</c:v>
                </c:pt>
                <c:pt idx="50">
                  <c:v>52.098748124421242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E5-438B-9B1F-0A0D3A2665CF}"/>
            </c:ext>
          </c:extLst>
        </c:ser>
        <c:ser>
          <c:idx val="3"/>
          <c:order val="3"/>
          <c:tx>
            <c:v>-1std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GageUnc!$L$1:$L$51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GageUnc!$O$1:$O$51</c:f>
              <c:numCache>
                <c:formatCode>0.00</c:formatCode>
                <c:ptCount val="51"/>
                <c:pt idx="0">
                  <c:v>-2.098748124421244</c:v>
                </c:pt>
                <c:pt idx="1">
                  <c:v>-1.098748124421244</c:v>
                </c:pt>
                <c:pt idx="2">
                  <c:v>-9.8748124421244032E-2</c:v>
                </c:pt>
                <c:pt idx="3">
                  <c:v>0.90125187557875597</c:v>
                </c:pt>
                <c:pt idx="4">
                  <c:v>1.901251875578756</c:v>
                </c:pt>
                <c:pt idx="5">
                  <c:v>2.901251875578756</c:v>
                </c:pt>
                <c:pt idx="6">
                  <c:v>3.901251875578756</c:v>
                </c:pt>
                <c:pt idx="7">
                  <c:v>4.9012518755787564</c:v>
                </c:pt>
                <c:pt idx="8">
                  <c:v>5.9012518755787564</c:v>
                </c:pt>
                <c:pt idx="9">
                  <c:v>6.9012518755787564</c:v>
                </c:pt>
                <c:pt idx="10">
                  <c:v>7.9012518755787564</c:v>
                </c:pt>
                <c:pt idx="11">
                  <c:v>8.9012518755787564</c:v>
                </c:pt>
                <c:pt idx="12">
                  <c:v>9.9012518755787564</c:v>
                </c:pt>
                <c:pt idx="13">
                  <c:v>10.901251875578756</c:v>
                </c:pt>
                <c:pt idx="14">
                  <c:v>11.901251875578756</c:v>
                </c:pt>
                <c:pt idx="15">
                  <c:v>12.901251875578756</c:v>
                </c:pt>
                <c:pt idx="16">
                  <c:v>13.901251875578756</c:v>
                </c:pt>
                <c:pt idx="17">
                  <c:v>14.901251875578756</c:v>
                </c:pt>
                <c:pt idx="18">
                  <c:v>15.901251875578756</c:v>
                </c:pt>
                <c:pt idx="19">
                  <c:v>16.901251875578755</c:v>
                </c:pt>
                <c:pt idx="20">
                  <c:v>17.901251875578755</c:v>
                </c:pt>
                <c:pt idx="21">
                  <c:v>18.901251875578755</c:v>
                </c:pt>
                <c:pt idx="22">
                  <c:v>19.901251875578755</c:v>
                </c:pt>
                <c:pt idx="23">
                  <c:v>20.901251875578755</c:v>
                </c:pt>
                <c:pt idx="24">
                  <c:v>21.901251875578755</c:v>
                </c:pt>
                <c:pt idx="25">
                  <c:v>22.901251875578755</c:v>
                </c:pt>
                <c:pt idx="26">
                  <c:v>23.901251875578755</c:v>
                </c:pt>
                <c:pt idx="27">
                  <c:v>24.901251875578755</c:v>
                </c:pt>
                <c:pt idx="28">
                  <c:v>25.901251875578755</c:v>
                </c:pt>
                <c:pt idx="29">
                  <c:v>26.901251875578755</c:v>
                </c:pt>
                <c:pt idx="30">
                  <c:v>27.901251875578755</c:v>
                </c:pt>
                <c:pt idx="31">
                  <c:v>28.901251875578755</c:v>
                </c:pt>
                <c:pt idx="32">
                  <c:v>29.901251875578755</c:v>
                </c:pt>
                <c:pt idx="33">
                  <c:v>30.901251875578755</c:v>
                </c:pt>
                <c:pt idx="34">
                  <c:v>31.901251875578755</c:v>
                </c:pt>
                <c:pt idx="35">
                  <c:v>32.901251875578758</c:v>
                </c:pt>
                <c:pt idx="36">
                  <c:v>33.901251875578758</c:v>
                </c:pt>
                <c:pt idx="37">
                  <c:v>34.901251875578758</c:v>
                </c:pt>
                <c:pt idx="38">
                  <c:v>35.901251875578758</c:v>
                </c:pt>
                <c:pt idx="39">
                  <c:v>36.901251875578758</c:v>
                </c:pt>
                <c:pt idx="40">
                  <c:v>37.901251875578758</c:v>
                </c:pt>
                <c:pt idx="41">
                  <c:v>38.901251875578758</c:v>
                </c:pt>
                <c:pt idx="42">
                  <c:v>39.901251875578758</c:v>
                </c:pt>
                <c:pt idx="43">
                  <c:v>40.901251875578758</c:v>
                </c:pt>
                <c:pt idx="44">
                  <c:v>41.901251875578758</c:v>
                </c:pt>
                <c:pt idx="45">
                  <c:v>42.901251875578758</c:v>
                </c:pt>
                <c:pt idx="46">
                  <c:v>43.901251875578758</c:v>
                </c:pt>
                <c:pt idx="47">
                  <c:v>44.901251875578758</c:v>
                </c:pt>
                <c:pt idx="48">
                  <c:v>45.901251875578758</c:v>
                </c:pt>
                <c:pt idx="49">
                  <c:v>46.901251875578758</c:v>
                </c:pt>
                <c:pt idx="50">
                  <c:v>47.901251875578758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7E5-438B-9B1F-0A0D3A2665CF}"/>
            </c:ext>
          </c:extLst>
        </c:ser>
        <c:ser>
          <c:idx val="4"/>
          <c:order val="4"/>
          <c:tx>
            <c:v>-1stdn</c:v>
          </c:tx>
          <c:spPr>
            <a:ln w="25400" cap="rnd">
              <a:solidFill>
                <a:schemeClr val="tx1">
                  <a:alpha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GageUnc!$L$1:$L$5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GageUnc!$O$1:$O$5</c:f>
              <c:numCache>
                <c:formatCode>0.00</c:formatCode>
                <c:ptCount val="5"/>
                <c:pt idx="0">
                  <c:v>-2.098748124421244</c:v>
                </c:pt>
                <c:pt idx="1">
                  <c:v>-1.098748124421244</c:v>
                </c:pt>
                <c:pt idx="2">
                  <c:v>-9.8748124421244032E-2</c:v>
                </c:pt>
                <c:pt idx="3">
                  <c:v>0.90125187557875597</c:v>
                </c:pt>
                <c:pt idx="4">
                  <c:v>1.901251875578756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7E5-438B-9B1F-0A0D3A266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860511"/>
        <c:axId val="1022865087"/>
      </c:scatterChart>
      <c:valAx>
        <c:axId val="1022860511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Modeled</a:t>
                </a:r>
                <a:r>
                  <a:rPr lang="en-US" sz="11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river stage (NAVD88, ft)</a:t>
                </a:r>
                <a:endParaRPr lang="en-US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2865087"/>
        <c:crosses val="autoZero"/>
        <c:crossBetween val="midCat"/>
        <c:majorUnit val="5"/>
      </c:valAx>
      <c:valAx>
        <c:axId val="102286508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Observed river stage (NAVD88, ft)</a:t>
                </a:r>
                <a:endParaRPr lang="en-US" sz="11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28605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111111111111111"/>
          <c:y val="0.88575048474567641"/>
          <c:w val="0.77935104986876635"/>
          <c:h val="4.3496506938414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TCs numerical model uncertainty for Gage</a:t>
            </a:r>
            <a:r>
              <a:rPr lang="en-US" sz="12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data</a:t>
            </a: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layout>
        <c:manualLayout>
          <c:xMode val="edge"/>
          <c:yMode val="edge"/>
          <c:x val="0.23207914395315965"/>
          <c:y val="3.01576526128982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29093478699778"/>
          <c:y val="7.8856664410161384E-2"/>
          <c:w val="0.81943985126859142"/>
          <c:h val="0.60715021199273178"/>
        </c:manualLayout>
      </c:layout>
      <c:scatterChart>
        <c:scatterStyle val="lineMarker"/>
        <c:varyColors val="0"/>
        <c:ser>
          <c:idx val="0"/>
          <c:order val="0"/>
          <c:tx>
            <c:v>Barry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 cap="rnd">
                <a:solidFill>
                  <a:schemeClr val="tx1"/>
                </a:solidFill>
              </a:ln>
              <a:effectLst/>
            </c:spPr>
          </c:marker>
          <c:xVal>
            <c:numRef>
              <c:f>Plot!$B$2:$B$29</c:f>
              <c:numCache>
                <c:formatCode>General</c:formatCode>
                <c:ptCount val="28"/>
                <c:pt idx="0">
                  <c:v>1.7747837305069001</c:v>
                </c:pt>
                <c:pt idx="1">
                  <c:v>1.7643300294876101</c:v>
                </c:pt>
                <c:pt idx="2">
                  <c:v>2.4502096176147501</c:v>
                </c:pt>
                <c:pt idx="3">
                  <c:v>4.3228030204773003</c:v>
                </c:pt>
                <c:pt idx="4">
                  <c:v>2.9533932209014901</c:v>
                </c:pt>
                <c:pt idx="5">
                  <c:v>6.9931397438049299</c:v>
                </c:pt>
                <c:pt idx="6">
                  <c:v>7.6360449790954599</c:v>
                </c:pt>
                <c:pt idx="7">
                  <c:v>1.2978254556655899</c:v>
                </c:pt>
                <c:pt idx="8">
                  <c:v>6.4694113731384304</c:v>
                </c:pt>
                <c:pt idx="9">
                  <c:v>2.4952099323272701</c:v>
                </c:pt>
                <c:pt idx="10">
                  <c:v>2.3596179485321001</c:v>
                </c:pt>
                <c:pt idx="11">
                  <c:v>3.5841221809387198</c:v>
                </c:pt>
                <c:pt idx="12">
                  <c:v>5.1694192886352504</c:v>
                </c:pt>
                <c:pt idx="13">
                  <c:v>3.6750211715698198</c:v>
                </c:pt>
                <c:pt idx="14">
                  <c:v>9.7127122879028303</c:v>
                </c:pt>
                <c:pt idx="15">
                  <c:v>5.5770568847656303</c:v>
                </c:pt>
                <c:pt idx="16">
                  <c:v>14.760377883911101</c:v>
                </c:pt>
                <c:pt idx="17">
                  <c:v>8.9884366989135707</c:v>
                </c:pt>
                <c:pt idx="18">
                  <c:v>17.894950866699201</c:v>
                </c:pt>
                <c:pt idx="19">
                  <c:v>34.691097259521499</c:v>
                </c:pt>
                <c:pt idx="20">
                  <c:v>12.0711402893066</c:v>
                </c:pt>
                <c:pt idx="21">
                  <c:v>5.5747094154357901</c:v>
                </c:pt>
                <c:pt idx="22">
                  <c:v>5.5777354240417498</c:v>
                </c:pt>
                <c:pt idx="23">
                  <c:v>5.5777354240417498</c:v>
                </c:pt>
                <c:pt idx="24">
                  <c:v>17.406356811523398</c:v>
                </c:pt>
                <c:pt idx="25">
                  <c:v>28.687623977661101</c:v>
                </c:pt>
                <c:pt idx="26">
                  <c:v>3.0287299156189</c:v>
                </c:pt>
                <c:pt idx="27">
                  <c:v>3.4605119228363002</c:v>
                </c:pt>
              </c:numCache>
            </c:numRef>
          </c:xVal>
          <c:yVal>
            <c:numRef>
              <c:f>Plot!$C$2:$C$29</c:f>
              <c:numCache>
                <c:formatCode>General</c:formatCode>
                <c:ptCount val="28"/>
                <c:pt idx="0">
                  <c:v>3.57</c:v>
                </c:pt>
                <c:pt idx="1">
                  <c:v>2.16</c:v>
                </c:pt>
                <c:pt idx="2">
                  <c:v>1.95</c:v>
                </c:pt>
                <c:pt idx="3">
                  <c:v>1.96</c:v>
                </c:pt>
                <c:pt idx="4">
                  <c:v>2.09</c:v>
                </c:pt>
                <c:pt idx="5">
                  <c:v>2.09</c:v>
                </c:pt>
                <c:pt idx="6">
                  <c:v>4.4800000000000004</c:v>
                </c:pt>
                <c:pt idx="7">
                  <c:v>2.4900000000000002</c:v>
                </c:pt>
                <c:pt idx="8">
                  <c:v>2.58</c:v>
                </c:pt>
                <c:pt idx="9">
                  <c:v>3.42</c:v>
                </c:pt>
                <c:pt idx="10">
                  <c:v>3.01</c:v>
                </c:pt>
                <c:pt idx="11">
                  <c:v>3.5</c:v>
                </c:pt>
                <c:pt idx="12">
                  <c:v>4.05</c:v>
                </c:pt>
                <c:pt idx="13">
                  <c:v>3.5999999999999996</c:v>
                </c:pt>
                <c:pt idx="14">
                  <c:v>7.65</c:v>
                </c:pt>
                <c:pt idx="15">
                  <c:v>5.3199999999999994</c:v>
                </c:pt>
                <c:pt idx="16">
                  <c:v>16.5</c:v>
                </c:pt>
                <c:pt idx="17">
                  <c:v>11.28</c:v>
                </c:pt>
                <c:pt idx="18">
                  <c:v>19.41</c:v>
                </c:pt>
                <c:pt idx="19">
                  <c:v>35.840000000000003</c:v>
                </c:pt>
                <c:pt idx="20">
                  <c:v>12.29</c:v>
                </c:pt>
                <c:pt idx="21">
                  <c:v>4.01</c:v>
                </c:pt>
                <c:pt idx="22">
                  <c:v>8.77</c:v>
                </c:pt>
                <c:pt idx="23">
                  <c:v>6.21</c:v>
                </c:pt>
                <c:pt idx="24">
                  <c:v>16.690000000000001</c:v>
                </c:pt>
                <c:pt idx="25">
                  <c:v>32.159999999999997</c:v>
                </c:pt>
                <c:pt idx="26">
                  <c:v>4.78</c:v>
                </c:pt>
                <c:pt idx="27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6-431A-96E4-D554F1D0D2ED}"/>
            </c:ext>
          </c:extLst>
        </c:ser>
        <c:ser>
          <c:idx val="5"/>
          <c:order val="1"/>
          <c:tx>
            <c:v>Bonnie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Plot!$B$30:$B$47</c:f>
              <c:numCache>
                <c:formatCode>General</c:formatCode>
                <c:ptCount val="18"/>
                <c:pt idx="0">
                  <c:v>1.0305161476135301</c:v>
                </c:pt>
                <c:pt idx="1">
                  <c:v>0.384113729000092</c:v>
                </c:pt>
                <c:pt idx="2">
                  <c:v>1.92495560646057</c:v>
                </c:pt>
                <c:pt idx="3">
                  <c:v>6.36513328552246</c:v>
                </c:pt>
                <c:pt idx="4">
                  <c:v>6.6704859733581499</c:v>
                </c:pt>
                <c:pt idx="5">
                  <c:v>0.84762668609619096</c:v>
                </c:pt>
                <c:pt idx="6">
                  <c:v>2.9149236679077202</c:v>
                </c:pt>
                <c:pt idx="7">
                  <c:v>1.35436511039734</c:v>
                </c:pt>
                <c:pt idx="8">
                  <c:v>1.3260631561279299</c:v>
                </c:pt>
                <c:pt idx="9">
                  <c:v>3.68542551994324</c:v>
                </c:pt>
                <c:pt idx="10">
                  <c:v>1.3462396860122701</c:v>
                </c:pt>
                <c:pt idx="11">
                  <c:v>1.3738472461700399</c:v>
                </c:pt>
                <c:pt idx="12">
                  <c:v>10.230510711669901</c:v>
                </c:pt>
                <c:pt idx="13">
                  <c:v>19.193195343017599</c:v>
                </c:pt>
                <c:pt idx="14">
                  <c:v>10.0575723648071</c:v>
                </c:pt>
                <c:pt idx="15">
                  <c:v>1.4219319820404099</c:v>
                </c:pt>
                <c:pt idx="16">
                  <c:v>1.4219366312027</c:v>
                </c:pt>
                <c:pt idx="17">
                  <c:v>1.4219366312027</c:v>
                </c:pt>
              </c:numCache>
            </c:numRef>
          </c:xVal>
          <c:yVal>
            <c:numRef>
              <c:f>Plot!$C$30:$C$47</c:f>
              <c:numCache>
                <c:formatCode>General</c:formatCode>
                <c:ptCount val="18"/>
                <c:pt idx="0">
                  <c:v>1.89</c:v>
                </c:pt>
                <c:pt idx="1">
                  <c:v>1.66</c:v>
                </c:pt>
                <c:pt idx="2">
                  <c:v>1.81</c:v>
                </c:pt>
                <c:pt idx="3">
                  <c:v>1.79</c:v>
                </c:pt>
                <c:pt idx="4">
                  <c:v>3.1</c:v>
                </c:pt>
                <c:pt idx="5">
                  <c:v>1.56</c:v>
                </c:pt>
                <c:pt idx="6">
                  <c:v>1.59</c:v>
                </c:pt>
                <c:pt idx="7">
                  <c:v>1.46</c:v>
                </c:pt>
                <c:pt idx="8">
                  <c:v>1.33</c:v>
                </c:pt>
                <c:pt idx="9">
                  <c:v>1.91</c:v>
                </c:pt>
                <c:pt idx="10">
                  <c:v>1.3299999999999998</c:v>
                </c:pt>
                <c:pt idx="11">
                  <c:v>1.51</c:v>
                </c:pt>
                <c:pt idx="12">
                  <c:v>6.7</c:v>
                </c:pt>
                <c:pt idx="13">
                  <c:v>17.399999999999999</c:v>
                </c:pt>
                <c:pt idx="14">
                  <c:v>6.58</c:v>
                </c:pt>
                <c:pt idx="15">
                  <c:v>2.19</c:v>
                </c:pt>
                <c:pt idx="16">
                  <c:v>1.58</c:v>
                </c:pt>
                <c:pt idx="17">
                  <c:v>1.5299999999999998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606-431A-96E4-D554F1D0D2ED}"/>
            </c:ext>
          </c:extLst>
        </c:ser>
        <c:ser>
          <c:idx val="6"/>
          <c:order val="2"/>
          <c:tx>
            <c:v>Cindy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Plot!$B$48:$B$72</c:f>
              <c:numCache>
                <c:formatCode>General</c:formatCode>
                <c:ptCount val="25"/>
                <c:pt idx="0">
                  <c:v>1.7448360919952399</c:v>
                </c:pt>
                <c:pt idx="1">
                  <c:v>1.74316370487213</c:v>
                </c:pt>
                <c:pt idx="2">
                  <c:v>5.3458561897277797</c:v>
                </c:pt>
                <c:pt idx="3">
                  <c:v>3.7474431991577202</c:v>
                </c:pt>
                <c:pt idx="4">
                  <c:v>7.52278709411621</c:v>
                </c:pt>
                <c:pt idx="5">
                  <c:v>2.1431634426116899</c:v>
                </c:pt>
                <c:pt idx="6">
                  <c:v>7.5633044242858896</c:v>
                </c:pt>
                <c:pt idx="7">
                  <c:v>2.3384270668029798</c:v>
                </c:pt>
                <c:pt idx="8">
                  <c:v>2.2785804271697998</c:v>
                </c:pt>
                <c:pt idx="9">
                  <c:v>3.0304300785064702</c:v>
                </c:pt>
                <c:pt idx="10">
                  <c:v>5.4484338760376003</c:v>
                </c:pt>
                <c:pt idx="11">
                  <c:v>3.1025092601776101</c:v>
                </c:pt>
                <c:pt idx="12">
                  <c:v>8.5261201858520508</c:v>
                </c:pt>
                <c:pt idx="13">
                  <c:v>4.5187416076660201</c:v>
                </c:pt>
                <c:pt idx="14">
                  <c:v>12.7478532791138</c:v>
                </c:pt>
                <c:pt idx="15">
                  <c:v>22.960983276367202</c:v>
                </c:pt>
                <c:pt idx="16">
                  <c:v>14.9496564865112</c:v>
                </c:pt>
                <c:pt idx="17">
                  <c:v>34.016136169433601</c:v>
                </c:pt>
                <c:pt idx="18">
                  <c:v>11.529076576232899</c:v>
                </c:pt>
                <c:pt idx="19">
                  <c:v>4.5333824157714799</c:v>
                </c:pt>
                <c:pt idx="20">
                  <c:v>4.5196471214294398</c:v>
                </c:pt>
                <c:pt idx="21">
                  <c:v>13.547269821166999</c:v>
                </c:pt>
                <c:pt idx="22">
                  <c:v>24.961597442626999</c:v>
                </c:pt>
                <c:pt idx="23">
                  <c:v>7.6003174781799299</c:v>
                </c:pt>
                <c:pt idx="24">
                  <c:v>3.1085188388824498</c:v>
                </c:pt>
              </c:numCache>
            </c:numRef>
          </c:xVal>
          <c:yVal>
            <c:numRef>
              <c:f>Plot!$C$48:$C$72</c:f>
              <c:numCache>
                <c:formatCode>General</c:formatCode>
                <c:ptCount val="25"/>
                <c:pt idx="0">
                  <c:v>3.7</c:v>
                </c:pt>
                <c:pt idx="1">
                  <c:v>2.16</c:v>
                </c:pt>
                <c:pt idx="2">
                  <c:v>2.64</c:v>
                </c:pt>
                <c:pt idx="3">
                  <c:v>3.2</c:v>
                </c:pt>
                <c:pt idx="4">
                  <c:v>6.01</c:v>
                </c:pt>
                <c:pt idx="5">
                  <c:v>2.83</c:v>
                </c:pt>
                <c:pt idx="6">
                  <c:v>4.95</c:v>
                </c:pt>
                <c:pt idx="7">
                  <c:v>3.4299999999999997</c:v>
                </c:pt>
                <c:pt idx="8">
                  <c:v>3.2199999999999998</c:v>
                </c:pt>
                <c:pt idx="9">
                  <c:v>3.64</c:v>
                </c:pt>
                <c:pt idx="10">
                  <c:v>5.28</c:v>
                </c:pt>
                <c:pt idx="11">
                  <c:v>3.59</c:v>
                </c:pt>
                <c:pt idx="12">
                  <c:v>5.26</c:v>
                </c:pt>
                <c:pt idx="13">
                  <c:v>4.55</c:v>
                </c:pt>
                <c:pt idx="14">
                  <c:v>12.58</c:v>
                </c:pt>
                <c:pt idx="15">
                  <c:v>23.11</c:v>
                </c:pt>
                <c:pt idx="16">
                  <c:v>17.79</c:v>
                </c:pt>
                <c:pt idx="17">
                  <c:v>36.89</c:v>
                </c:pt>
                <c:pt idx="18">
                  <c:v>8.6199999999999992</c:v>
                </c:pt>
                <c:pt idx="19">
                  <c:v>5.93</c:v>
                </c:pt>
                <c:pt idx="20">
                  <c:v>6.63</c:v>
                </c:pt>
                <c:pt idx="21">
                  <c:v>12.65</c:v>
                </c:pt>
                <c:pt idx="22">
                  <c:v>29.25</c:v>
                </c:pt>
                <c:pt idx="23">
                  <c:v>8.85</c:v>
                </c:pt>
                <c:pt idx="24">
                  <c:v>4.6400000000000006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606-431A-96E4-D554F1D0D2ED}"/>
            </c:ext>
          </c:extLst>
        </c:ser>
        <c:ser>
          <c:idx val="8"/>
          <c:order val="3"/>
          <c:tx>
            <c:v>Cristobal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Plot!$B$73:$B$102</c:f>
              <c:numCache>
                <c:formatCode>General</c:formatCode>
                <c:ptCount val="30"/>
                <c:pt idx="0">
                  <c:v>1.7548912763595601</c:v>
                </c:pt>
                <c:pt idx="1">
                  <c:v>1.74072730541229</c:v>
                </c:pt>
                <c:pt idx="2">
                  <c:v>2.5323634147643999</c:v>
                </c:pt>
                <c:pt idx="3">
                  <c:v>4.6066775321960503</c:v>
                </c:pt>
                <c:pt idx="4">
                  <c:v>3.0372765064239502</c:v>
                </c:pt>
                <c:pt idx="5">
                  <c:v>7.0073480606079102</c:v>
                </c:pt>
                <c:pt idx="6">
                  <c:v>7.4367904663085902</c:v>
                </c:pt>
                <c:pt idx="7">
                  <c:v>1.2796422243118299</c:v>
                </c:pt>
                <c:pt idx="8">
                  <c:v>6.4352269172668501</c:v>
                </c:pt>
                <c:pt idx="9">
                  <c:v>2.67950439453125</c:v>
                </c:pt>
                <c:pt idx="10">
                  <c:v>1.4560068845748899</c:v>
                </c:pt>
                <c:pt idx="11">
                  <c:v>2.4269831180572501</c:v>
                </c:pt>
                <c:pt idx="12">
                  <c:v>2.6317408084869398</c:v>
                </c:pt>
                <c:pt idx="13">
                  <c:v>5.1936402320861799</c:v>
                </c:pt>
                <c:pt idx="14">
                  <c:v>2.7122390270233199</c:v>
                </c:pt>
                <c:pt idx="15">
                  <c:v>8.3198385238647496</c:v>
                </c:pt>
                <c:pt idx="16">
                  <c:v>3.5651500225067099</c:v>
                </c:pt>
                <c:pt idx="17">
                  <c:v>12.2976484298706</c:v>
                </c:pt>
                <c:pt idx="18">
                  <c:v>22.031641006469702</c:v>
                </c:pt>
                <c:pt idx="19">
                  <c:v>5.35428667068481</c:v>
                </c:pt>
                <c:pt idx="20">
                  <c:v>14.554007530212401</c:v>
                </c:pt>
                <c:pt idx="21">
                  <c:v>33.899063110351598</c:v>
                </c:pt>
                <c:pt idx="22">
                  <c:v>11.3217678070068</c:v>
                </c:pt>
                <c:pt idx="23">
                  <c:v>4.0301814079284703</c:v>
                </c:pt>
                <c:pt idx="24">
                  <c:v>4.0200843811035201</c:v>
                </c:pt>
                <c:pt idx="25">
                  <c:v>4.0200843811035201</c:v>
                </c:pt>
                <c:pt idx="26">
                  <c:v>13.797681808471699</c:v>
                </c:pt>
                <c:pt idx="27">
                  <c:v>24.850339889526399</c:v>
                </c:pt>
                <c:pt idx="28">
                  <c:v>5.0286531448364302</c:v>
                </c:pt>
                <c:pt idx="29">
                  <c:v>5.1613750457763699</c:v>
                </c:pt>
              </c:numCache>
            </c:numRef>
          </c:xVal>
          <c:yVal>
            <c:numRef>
              <c:f>Plot!$C$73:$C$102</c:f>
              <c:numCache>
                <c:formatCode>General</c:formatCode>
                <c:ptCount val="30"/>
                <c:pt idx="0">
                  <c:v>3.43</c:v>
                </c:pt>
                <c:pt idx="1">
                  <c:v>2</c:v>
                </c:pt>
                <c:pt idx="2">
                  <c:v>1.84</c:v>
                </c:pt>
                <c:pt idx="3">
                  <c:v>1.49</c:v>
                </c:pt>
                <c:pt idx="4">
                  <c:v>1.97</c:v>
                </c:pt>
                <c:pt idx="5">
                  <c:v>1.96</c:v>
                </c:pt>
                <c:pt idx="6">
                  <c:v>5.05</c:v>
                </c:pt>
                <c:pt idx="7">
                  <c:v>2.6</c:v>
                </c:pt>
                <c:pt idx="8">
                  <c:v>4.29</c:v>
                </c:pt>
                <c:pt idx="9">
                  <c:v>3.1799999999999997</c:v>
                </c:pt>
                <c:pt idx="10">
                  <c:v>2.41</c:v>
                </c:pt>
                <c:pt idx="11">
                  <c:v>2.82</c:v>
                </c:pt>
                <c:pt idx="12">
                  <c:v>3.08</c:v>
                </c:pt>
                <c:pt idx="13">
                  <c:v>3.37</c:v>
                </c:pt>
                <c:pt idx="14">
                  <c:v>3.13</c:v>
                </c:pt>
                <c:pt idx="15">
                  <c:v>7.13</c:v>
                </c:pt>
                <c:pt idx="16">
                  <c:v>3.58</c:v>
                </c:pt>
                <c:pt idx="17">
                  <c:v>12.03</c:v>
                </c:pt>
                <c:pt idx="18">
                  <c:v>18.489999999999998</c:v>
                </c:pt>
                <c:pt idx="19">
                  <c:v>6.35</c:v>
                </c:pt>
                <c:pt idx="20">
                  <c:v>15.95</c:v>
                </c:pt>
                <c:pt idx="21">
                  <c:v>32.340000000000003</c:v>
                </c:pt>
                <c:pt idx="22">
                  <c:v>9.27</c:v>
                </c:pt>
                <c:pt idx="23">
                  <c:v>5.07</c:v>
                </c:pt>
                <c:pt idx="24">
                  <c:v>5.78</c:v>
                </c:pt>
                <c:pt idx="25">
                  <c:v>5.43</c:v>
                </c:pt>
                <c:pt idx="26">
                  <c:v>10.28</c:v>
                </c:pt>
                <c:pt idx="27">
                  <c:v>25.77</c:v>
                </c:pt>
                <c:pt idx="28">
                  <c:v>7.3599999999999994</c:v>
                </c:pt>
                <c:pt idx="29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606-431A-96E4-D554F1D0D2ED}"/>
            </c:ext>
          </c:extLst>
        </c:ser>
        <c:ser>
          <c:idx val="9"/>
          <c:order val="4"/>
          <c:tx>
            <c:v>Delta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Plot!$B$103:$B$132</c:f>
              <c:numCache>
                <c:formatCode>General</c:formatCode>
                <c:ptCount val="30"/>
                <c:pt idx="0">
                  <c:v>1.9542093276977499</c:v>
                </c:pt>
                <c:pt idx="1">
                  <c:v>1.9476903676986701</c:v>
                </c:pt>
                <c:pt idx="2">
                  <c:v>1.6429135799407999</c:v>
                </c:pt>
                <c:pt idx="3">
                  <c:v>3.9936172962188698</c:v>
                </c:pt>
                <c:pt idx="4">
                  <c:v>2.8888907432556201</c:v>
                </c:pt>
                <c:pt idx="5">
                  <c:v>7.1306881904602104</c:v>
                </c:pt>
                <c:pt idx="6">
                  <c:v>7.6970643997192401</c:v>
                </c:pt>
                <c:pt idx="7">
                  <c:v>1.5557951927185101</c:v>
                </c:pt>
                <c:pt idx="8">
                  <c:v>5.8360567092895499</c:v>
                </c:pt>
                <c:pt idx="9">
                  <c:v>1.7326465845107999</c:v>
                </c:pt>
                <c:pt idx="10">
                  <c:v>1.44899773597717</c:v>
                </c:pt>
                <c:pt idx="11">
                  <c:v>3.1734673976898198</c:v>
                </c:pt>
                <c:pt idx="12">
                  <c:v>6.3795046806335503</c:v>
                </c:pt>
                <c:pt idx="13">
                  <c:v>6.3791599273681596</c:v>
                </c:pt>
                <c:pt idx="14">
                  <c:v>6.4936480522155797</c:v>
                </c:pt>
                <c:pt idx="15">
                  <c:v>9.14300537109375</c:v>
                </c:pt>
                <c:pt idx="16">
                  <c:v>9.48724460601807</c:v>
                </c:pt>
                <c:pt idx="17">
                  <c:v>15.2803955078125</c:v>
                </c:pt>
                <c:pt idx="18">
                  <c:v>27.795467376708999</c:v>
                </c:pt>
                <c:pt idx="19">
                  <c:v>9.2791013717651403</c:v>
                </c:pt>
                <c:pt idx="20">
                  <c:v>20.7529411315918</c:v>
                </c:pt>
                <c:pt idx="21">
                  <c:v>36.550506591796903</c:v>
                </c:pt>
                <c:pt idx="22">
                  <c:v>11.3730764389038</c:v>
                </c:pt>
                <c:pt idx="23">
                  <c:v>6.7314910888671902</c:v>
                </c:pt>
                <c:pt idx="24">
                  <c:v>6.7005734443664604</c:v>
                </c:pt>
                <c:pt idx="25">
                  <c:v>6.7005734443664604</c:v>
                </c:pt>
                <c:pt idx="26">
                  <c:v>17.062202453613299</c:v>
                </c:pt>
                <c:pt idx="27">
                  <c:v>32.014503479003899</c:v>
                </c:pt>
                <c:pt idx="28">
                  <c:v>3.3223969936370898</c:v>
                </c:pt>
                <c:pt idx="29">
                  <c:v>2.53601145744324</c:v>
                </c:pt>
              </c:numCache>
            </c:numRef>
          </c:xVal>
          <c:yVal>
            <c:numRef>
              <c:f>Plot!$C$103:$C$132</c:f>
              <c:numCache>
                <c:formatCode>General</c:formatCode>
                <c:ptCount val="30"/>
                <c:pt idx="0">
                  <c:v>2.96</c:v>
                </c:pt>
                <c:pt idx="1">
                  <c:v>2.31</c:v>
                </c:pt>
                <c:pt idx="2">
                  <c:v>2.11</c:v>
                </c:pt>
                <c:pt idx="3">
                  <c:v>2.09</c:v>
                </c:pt>
                <c:pt idx="4">
                  <c:v>2.13</c:v>
                </c:pt>
                <c:pt idx="5">
                  <c:v>3.18</c:v>
                </c:pt>
                <c:pt idx="6">
                  <c:v>5.05</c:v>
                </c:pt>
                <c:pt idx="7">
                  <c:v>2.31</c:v>
                </c:pt>
                <c:pt idx="8">
                  <c:v>2.34</c:v>
                </c:pt>
                <c:pt idx="9">
                  <c:v>2.7700000000000005</c:v>
                </c:pt>
                <c:pt idx="10">
                  <c:v>2.12</c:v>
                </c:pt>
                <c:pt idx="11">
                  <c:v>2.4499999999999997</c:v>
                </c:pt>
                <c:pt idx="12">
                  <c:v>3.86</c:v>
                </c:pt>
                <c:pt idx="13">
                  <c:v>4.4400000000000004</c:v>
                </c:pt>
                <c:pt idx="14">
                  <c:v>4.0599999999999996</c:v>
                </c:pt>
                <c:pt idx="15">
                  <c:v>6.56</c:v>
                </c:pt>
                <c:pt idx="16">
                  <c:v>6.72</c:v>
                </c:pt>
                <c:pt idx="17">
                  <c:v>18.829999999999998</c:v>
                </c:pt>
                <c:pt idx="18">
                  <c:v>27.5</c:v>
                </c:pt>
                <c:pt idx="19">
                  <c:v>11.27</c:v>
                </c:pt>
                <c:pt idx="20">
                  <c:v>24.6</c:v>
                </c:pt>
                <c:pt idx="21">
                  <c:v>39.92</c:v>
                </c:pt>
                <c:pt idx="22">
                  <c:v>7.66</c:v>
                </c:pt>
                <c:pt idx="23">
                  <c:v>3.14</c:v>
                </c:pt>
                <c:pt idx="24">
                  <c:v>7.8800000000000008</c:v>
                </c:pt>
                <c:pt idx="25">
                  <c:v>3.08</c:v>
                </c:pt>
                <c:pt idx="26">
                  <c:v>16.05</c:v>
                </c:pt>
                <c:pt idx="27">
                  <c:v>35.46</c:v>
                </c:pt>
                <c:pt idx="28">
                  <c:v>4.45</c:v>
                </c:pt>
                <c:pt idx="29">
                  <c:v>3.79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606-431A-96E4-D554F1D0D2ED}"/>
            </c:ext>
          </c:extLst>
        </c:ser>
        <c:ser>
          <c:idx val="10"/>
          <c:order val="5"/>
          <c:tx>
            <c:v>Gustav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Plot!$B$133:$B$154</c:f>
              <c:numCache>
                <c:formatCode>General</c:formatCode>
                <c:ptCount val="22"/>
                <c:pt idx="0">
                  <c:v>3.5574634075164799</c:v>
                </c:pt>
                <c:pt idx="1">
                  <c:v>5.74534368515015</c:v>
                </c:pt>
                <c:pt idx="2">
                  <c:v>4.8994083404540998</c:v>
                </c:pt>
                <c:pt idx="3">
                  <c:v>8.6035842895507795</c:v>
                </c:pt>
                <c:pt idx="4">
                  <c:v>8.5138425827026403</c:v>
                </c:pt>
                <c:pt idx="5">
                  <c:v>3.4588291645050102</c:v>
                </c:pt>
                <c:pt idx="6">
                  <c:v>7.9618272781372097</c:v>
                </c:pt>
                <c:pt idx="7">
                  <c:v>4.0738792419433603</c:v>
                </c:pt>
                <c:pt idx="8">
                  <c:v>4.8929705619812003</c:v>
                </c:pt>
                <c:pt idx="9">
                  <c:v>9.2662305831909197</c:v>
                </c:pt>
                <c:pt idx="10">
                  <c:v>9.3495330810546893</c:v>
                </c:pt>
                <c:pt idx="11">
                  <c:v>12.4606580734253</c:v>
                </c:pt>
                <c:pt idx="12">
                  <c:v>12.7775478363037</c:v>
                </c:pt>
                <c:pt idx="13">
                  <c:v>17.3054084777832</c:v>
                </c:pt>
                <c:pt idx="14">
                  <c:v>27.449680328369102</c:v>
                </c:pt>
                <c:pt idx="15">
                  <c:v>21.085620880126999</c:v>
                </c:pt>
                <c:pt idx="16">
                  <c:v>36.522716522216797</c:v>
                </c:pt>
                <c:pt idx="17">
                  <c:v>12.519926071166999</c:v>
                </c:pt>
                <c:pt idx="18">
                  <c:v>8.3434467315673793</c:v>
                </c:pt>
                <c:pt idx="19">
                  <c:v>8.3440732955932599</c:v>
                </c:pt>
                <c:pt idx="20">
                  <c:v>17.267972946166999</c:v>
                </c:pt>
                <c:pt idx="21">
                  <c:v>29.1455898284912</c:v>
                </c:pt>
              </c:numCache>
            </c:numRef>
          </c:xVal>
          <c:yVal>
            <c:numRef>
              <c:f>Plot!$C$133:$C$154</c:f>
              <c:numCache>
                <c:formatCode>General</c:formatCode>
                <c:ptCount val="22"/>
                <c:pt idx="0">
                  <c:v>1.49</c:v>
                </c:pt>
                <c:pt idx="1">
                  <c:v>1.78</c:v>
                </c:pt>
                <c:pt idx="2">
                  <c:v>2.76</c:v>
                </c:pt>
                <c:pt idx="3">
                  <c:v>6.07</c:v>
                </c:pt>
                <c:pt idx="4">
                  <c:v>7.29</c:v>
                </c:pt>
                <c:pt idx="5">
                  <c:v>3.09</c:v>
                </c:pt>
                <c:pt idx="6">
                  <c:v>6.55</c:v>
                </c:pt>
                <c:pt idx="7">
                  <c:v>3.8500000000000005</c:v>
                </c:pt>
                <c:pt idx="8">
                  <c:v>3.9799999999999995</c:v>
                </c:pt>
                <c:pt idx="9">
                  <c:v>7.98</c:v>
                </c:pt>
                <c:pt idx="10">
                  <c:v>8.3600000000000012</c:v>
                </c:pt>
                <c:pt idx="11">
                  <c:v>11.41</c:v>
                </c:pt>
                <c:pt idx="12">
                  <c:v>12.08</c:v>
                </c:pt>
                <c:pt idx="13">
                  <c:v>16.61</c:v>
                </c:pt>
                <c:pt idx="14">
                  <c:v>23.93</c:v>
                </c:pt>
                <c:pt idx="15">
                  <c:v>20.6</c:v>
                </c:pt>
                <c:pt idx="16">
                  <c:v>37.819999999999993</c:v>
                </c:pt>
                <c:pt idx="17">
                  <c:v>11.13</c:v>
                </c:pt>
                <c:pt idx="18">
                  <c:v>3.79</c:v>
                </c:pt>
                <c:pt idx="19">
                  <c:v>9.76</c:v>
                </c:pt>
                <c:pt idx="20">
                  <c:v>21.89</c:v>
                </c:pt>
                <c:pt idx="21">
                  <c:v>29.63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606-431A-96E4-D554F1D0D2ED}"/>
            </c:ext>
          </c:extLst>
        </c:ser>
        <c:ser>
          <c:idx val="11"/>
          <c:order val="6"/>
          <c:tx>
            <c:v>Harvey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Plot!$B$155:$B$180</c:f>
              <c:numCache>
                <c:formatCode>General</c:formatCode>
                <c:ptCount val="26"/>
                <c:pt idx="0">
                  <c:v>2.0340173244476301</c:v>
                </c:pt>
                <c:pt idx="1">
                  <c:v>2.0504012107849099</c:v>
                </c:pt>
                <c:pt idx="2">
                  <c:v>6.1599831581115696</c:v>
                </c:pt>
                <c:pt idx="3">
                  <c:v>5.2700695991516104</c:v>
                </c:pt>
                <c:pt idx="4">
                  <c:v>8.7693166732788104</c:v>
                </c:pt>
                <c:pt idx="5">
                  <c:v>2.8191168308258101</c:v>
                </c:pt>
                <c:pt idx="6">
                  <c:v>8.1803655624389702</c:v>
                </c:pt>
                <c:pt idx="7">
                  <c:v>1.90528893470764</c:v>
                </c:pt>
                <c:pt idx="8">
                  <c:v>2.2421641349792498</c:v>
                </c:pt>
                <c:pt idx="9">
                  <c:v>3.3617844581603999</c:v>
                </c:pt>
                <c:pt idx="10">
                  <c:v>6.5727596282959002</c:v>
                </c:pt>
                <c:pt idx="11">
                  <c:v>3.41788983345032</c:v>
                </c:pt>
                <c:pt idx="12">
                  <c:v>10.026070594787599</c:v>
                </c:pt>
                <c:pt idx="13">
                  <c:v>4.8860750198364302</c:v>
                </c:pt>
                <c:pt idx="14">
                  <c:v>14.1496467590332</c:v>
                </c:pt>
                <c:pt idx="15">
                  <c:v>22.913082122802699</c:v>
                </c:pt>
                <c:pt idx="16">
                  <c:v>15.881507873535201</c:v>
                </c:pt>
                <c:pt idx="17">
                  <c:v>34.650730133056598</c:v>
                </c:pt>
                <c:pt idx="18">
                  <c:v>11.7999324798584</c:v>
                </c:pt>
                <c:pt idx="19">
                  <c:v>5.9023609161376998</c:v>
                </c:pt>
                <c:pt idx="20">
                  <c:v>5.9138917922973597</c:v>
                </c:pt>
                <c:pt idx="21">
                  <c:v>5.9138917922973597</c:v>
                </c:pt>
                <c:pt idx="22">
                  <c:v>14.5403709411621</c:v>
                </c:pt>
                <c:pt idx="23">
                  <c:v>25.693353652954102</c:v>
                </c:pt>
                <c:pt idx="24">
                  <c:v>8.3906126022338903</c:v>
                </c:pt>
                <c:pt idx="25">
                  <c:v>2.1134305000305198</c:v>
                </c:pt>
              </c:numCache>
            </c:numRef>
          </c:xVal>
          <c:yVal>
            <c:numRef>
              <c:f>Plot!$C$155:$C$180</c:f>
              <c:numCache>
                <c:formatCode>General</c:formatCode>
                <c:ptCount val="26"/>
                <c:pt idx="0">
                  <c:v>3.86</c:v>
                </c:pt>
                <c:pt idx="1">
                  <c:v>2.13</c:v>
                </c:pt>
                <c:pt idx="2">
                  <c:v>4.4000000000000004</c:v>
                </c:pt>
                <c:pt idx="3">
                  <c:v>4.6500000000000004</c:v>
                </c:pt>
                <c:pt idx="4">
                  <c:v>7.85</c:v>
                </c:pt>
                <c:pt idx="5">
                  <c:v>3.85</c:v>
                </c:pt>
                <c:pt idx="6">
                  <c:v>7.62</c:v>
                </c:pt>
                <c:pt idx="7">
                  <c:v>2.9400000000000004</c:v>
                </c:pt>
                <c:pt idx="8">
                  <c:v>2.98</c:v>
                </c:pt>
                <c:pt idx="9">
                  <c:v>3.63</c:v>
                </c:pt>
                <c:pt idx="10">
                  <c:v>6.31</c:v>
                </c:pt>
                <c:pt idx="11">
                  <c:v>3.5199999999999996</c:v>
                </c:pt>
                <c:pt idx="12">
                  <c:v>6.37</c:v>
                </c:pt>
                <c:pt idx="13">
                  <c:v>4.41</c:v>
                </c:pt>
                <c:pt idx="14">
                  <c:v>11.79</c:v>
                </c:pt>
                <c:pt idx="15">
                  <c:v>18.43</c:v>
                </c:pt>
                <c:pt idx="16">
                  <c:v>16.350000000000001</c:v>
                </c:pt>
                <c:pt idx="17">
                  <c:v>32.379999999999995</c:v>
                </c:pt>
                <c:pt idx="18">
                  <c:v>9.32</c:v>
                </c:pt>
                <c:pt idx="19">
                  <c:v>4.28</c:v>
                </c:pt>
                <c:pt idx="20">
                  <c:v>6.84</c:v>
                </c:pt>
                <c:pt idx="21">
                  <c:v>6.08</c:v>
                </c:pt>
                <c:pt idx="22">
                  <c:v>9.49</c:v>
                </c:pt>
                <c:pt idx="23">
                  <c:v>23.94</c:v>
                </c:pt>
                <c:pt idx="24">
                  <c:v>11.08</c:v>
                </c:pt>
                <c:pt idx="25">
                  <c:v>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606-431A-96E4-D554F1D0D2ED}"/>
            </c:ext>
          </c:extLst>
        </c:ser>
        <c:ser>
          <c:idx val="12"/>
          <c:order val="7"/>
          <c:tx>
            <c:v>Ida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 cap="sq">
                <a:solidFill>
                  <a:srgbClr val="FF0000"/>
                </a:solidFill>
                <a:bevel/>
              </a:ln>
              <a:effectLst/>
            </c:spPr>
          </c:marker>
          <c:xVal>
            <c:numRef>
              <c:f>Plot!$B$181:$B$210</c:f>
              <c:numCache>
                <c:formatCode>General</c:formatCode>
                <c:ptCount val="30"/>
                <c:pt idx="0">
                  <c:v>3.1537833213806201</c:v>
                </c:pt>
                <c:pt idx="1">
                  <c:v>3.14753246307373</c:v>
                </c:pt>
                <c:pt idx="2">
                  <c:v>3.91373491287231</c:v>
                </c:pt>
                <c:pt idx="3">
                  <c:v>5.6785311698913601</c:v>
                </c:pt>
                <c:pt idx="4">
                  <c:v>4.2978162765502903</c:v>
                </c:pt>
                <c:pt idx="5">
                  <c:v>8.45715236663818</c:v>
                </c:pt>
                <c:pt idx="6">
                  <c:v>8.2150373458862305</c:v>
                </c:pt>
                <c:pt idx="7">
                  <c:v>3.0861001014709499</c:v>
                </c:pt>
                <c:pt idx="8">
                  <c:v>7.7206749916076696</c:v>
                </c:pt>
                <c:pt idx="9">
                  <c:v>4.8496851921081499</c:v>
                </c:pt>
                <c:pt idx="10">
                  <c:v>2.5884561538696298</c:v>
                </c:pt>
                <c:pt idx="11">
                  <c:v>3.73580694198608</c:v>
                </c:pt>
                <c:pt idx="12">
                  <c:v>5.4548311233520499</c:v>
                </c:pt>
                <c:pt idx="13">
                  <c:v>6.7741074562072798</c:v>
                </c:pt>
                <c:pt idx="14">
                  <c:v>5.5769238471984899</c:v>
                </c:pt>
                <c:pt idx="15">
                  <c:v>10.078198432922401</c:v>
                </c:pt>
                <c:pt idx="16">
                  <c:v>8.0270557403564506</c:v>
                </c:pt>
                <c:pt idx="17">
                  <c:v>12.170327186584499</c:v>
                </c:pt>
                <c:pt idx="18">
                  <c:v>21.897832870483398</c:v>
                </c:pt>
                <c:pt idx="19">
                  <c:v>6.9796085357665998</c:v>
                </c:pt>
                <c:pt idx="20">
                  <c:v>14.065894126892101</c:v>
                </c:pt>
                <c:pt idx="21">
                  <c:v>33.426174163818402</c:v>
                </c:pt>
                <c:pt idx="22">
                  <c:v>11.270515441894499</c:v>
                </c:pt>
                <c:pt idx="23">
                  <c:v>6.0226778984069798</c:v>
                </c:pt>
                <c:pt idx="24">
                  <c:v>6.0143284797668501</c:v>
                </c:pt>
                <c:pt idx="25">
                  <c:v>6.0143284797668501</c:v>
                </c:pt>
                <c:pt idx="26">
                  <c:v>14.709205627441399</c:v>
                </c:pt>
                <c:pt idx="27">
                  <c:v>5.27545166015625</c:v>
                </c:pt>
                <c:pt idx="28">
                  <c:v>14.829709053039601</c:v>
                </c:pt>
                <c:pt idx="29">
                  <c:v>8.5909538269043004</c:v>
                </c:pt>
              </c:numCache>
            </c:numRef>
          </c:xVal>
          <c:yVal>
            <c:numRef>
              <c:f>Plot!$C$181:$C$210</c:f>
              <c:numCache>
                <c:formatCode>General</c:formatCode>
                <c:ptCount val="30"/>
                <c:pt idx="0">
                  <c:v>5.41</c:v>
                </c:pt>
                <c:pt idx="1">
                  <c:v>1.97</c:v>
                </c:pt>
                <c:pt idx="2">
                  <c:v>2.12</c:v>
                </c:pt>
                <c:pt idx="3">
                  <c:v>3.74</c:v>
                </c:pt>
                <c:pt idx="4">
                  <c:v>4.5</c:v>
                </c:pt>
                <c:pt idx="5">
                  <c:v>8.14</c:v>
                </c:pt>
                <c:pt idx="6">
                  <c:v>8.0500000000000007</c:v>
                </c:pt>
                <c:pt idx="7">
                  <c:v>4.24</c:v>
                </c:pt>
                <c:pt idx="8">
                  <c:v>7.58</c:v>
                </c:pt>
                <c:pt idx="9">
                  <c:v>5.82</c:v>
                </c:pt>
                <c:pt idx="10">
                  <c:v>4.07</c:v>
                </c:pt>
                <c:pt idx="11">
                  <c:v>4.99</c:v>
                </c:pt>
                <c:pt idx="12">
                  <c:v>5.19</c:v>
                </c:pt>
                <c:pt idx="13">
                  <c:v>7.24</c:v>
                </c:pt>
                <c:pt idx="14">
                  <c:v>5.2399999999999993</c:v>
                </c:pt>
                <c:pt idx="15">
                  <c:v>8.1900000000000013</c:v>
                </c:pt>
                <c:pt idx="16">
                  <c:v>5.68</c:v>
                </c:pt>
                <c:pt idx="17">
                  <c:v>12.03</c:v>
                </c:pt>
                <c:pt idx="18">
                  <c:v>18.41</c:v>
                </c:pt>
                <c:pt idx="19">
                  <c:v>8.1300000000000008</c:v>
                </c:pt>
                <c:pt idx="20">
                  <c:v>13.24</c:v>
                </c:pt>
                <c:pt idx="21">
                  <c:v>34.180000000000007</c:v>
                </c:pt>
                <c:pt idx="22">
                  <c:v>7.84</c:v>
                </c:pt>
                <c:pt idx="23">
                  <c:v>4.5</c:v>
                </c:pt>
                <c:pt idx="24">
                  <c:v>6.82</c:v>
                </c:pt>
                <c:pt idx="25">
                  <c:v>5.89</c:v>
                </c:pt>
                <c:pt idx="26">
                  <c:v>12.07</c:v>
                </c:pt>
                <c:pt idx="27">
                  <c:v>6.01</c:v>
                </c:pt>
                <c:pt idx="28">
                  <c:v>16.64</c:v>
                </c:pt>
                <c:pt idx="29">
                  <c:v>8.66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606-431A-96E4-D554F1D0D2ED}"/>
            </c:ext>
          </c:extLst>
        </c:ser>
        <c:ser>
          <c:idx val="13"/>
          <c:order val="8"/>
          <c:tx>
            <c:v>Imelda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Plot!$B$211:$B$237</c:f>
              <c:numCache>
                <c:formatCode>General</c:formatCode>
                <c:ptCount val="27"/>
                <c:pt idx="0">
                  <c:v>1.2953345775604199</c:v>
                </c:pt>
                <c:pt idx="1">
                  <c:v>1.2812638282775899</c:v>
                </c:pt>
                <c:pt idx="2">
                  <c:v>1.8425482511520399</c:v>
                </c:pt>
                <c:pt idx="3">
                  <c:v>4.1137104034423801</c:v>
                </c:pt>
                <c:pt idx="4">
                  <c:v>2.9043555259704599</c:v>
                </c:pt>
                <c:pt idx="5">
                  <c:v>6.9523983001709002</c:v>
                </c:pt>
                <c:pt idx="6">
                  <c:v>6.8705577850341797</c:v>
                </c:pt>
                <c:pt idx="7">
                  <c:v>1.17037808895111</c:v>
                </c:pt>
                <c:pt idx="8">
                  <c:v>5.86962795257568</c:v>
                </c:pt>
                <c:pt idx="9">
                  <c:v>1.8521910905837999</c:v>
                </c:pt>
                <c:pt idx="10">
                  <c:v>1.76886594295502</c:v>
                </c:pt>
                <c:pt idx="11">
                  <c:v>1.5585350990295399</c:v>
                </c:pt>
                <c:pt idx="12">
                  <c:v>4.9298162460327202</c:v>
                </c:pt>
                <c:pt idx="13">
                  <c:v>1.7800418138503999</c:v>
                </c:pt>
                <c:pt idx="14">
                  <c:v>7.6005153656005904</c:v>
                </c:pt>
                <c:pt idx="15">
                  <c:v>1.8080533742904701</c:v>
                </c:pt>
                <c:pt idx="16">
                  <c:v>10.003471374511699</c:v>
                </c:pt>
                <c:pt idx="17">
                  <c:v>19.330123901367202</c:v>
                </c:pt>
                <c:pt idx="18">
                  <c:v>1.81040298938751</c:v>
                </c:pt>
                <c:pt idx="19">
                  <c:v>9.9020843505859393</c:v>
                </c:pt>
                <c:pt idx="20">
                  <c:v>32.237846374511697</c:v>
                </c:pt>
                <c:pt idx="21">
                  <c:v>1.8097038269043</c:v>
                </c:pt>
                <c:pt idx="22">
                  <c:v>1.8097119331359901</c:v>
                </c:pt>
                <c:pt idx="23">
                  <c:v>1.8097119331359901</c:v>
                </c:pt>
                <c:pt idx="24">
                  <c:v>12.133440017700201</c:v>
                </c:pt>
                <c:pt idx="25">
                  <c:v>1.9080952405929601</c:v>
                </c:pt>
                <c:pt idx="26">
                  <c:v>2.1765878200531001</c:v>
                </c:pt>
              </c:numCache>
            </c:numRef>
          </c:xVal>
          <c:yVal>
            <c:numRef>
              <c:f>Plot!$C$211:$C$237</c:f>
              <c:numCache>
                <c:formatCode>General</c:formatCode>
                <c:ptCount val="27"/>
                <c:pt idx="0">
                  <c:v>2.92</c:v>
                </c:pt>
                <c:pt idx="1">
                  <c:v>2.38</c:v>
                </c:pt>
                <c:pt idx="2">
                  <c:v>2.2000000000000002</c:v>
                </c:pt>
                <c:pt idx="3">
                  <c:v>2.15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3.09</c:v>
                </c:pt>
                <c:pt idx="7">
                  <c:v>2.0699999999999998</c:v>
                </c:pt>
                <c:pt idx="8">
                  <c:v>1.98</c:v>
                </c:pt>
                <c:pt idx="9">
                  <c:v>2.39</c:v>
                </c:pt>
                <c:pt idx="10">
                  <c:v>2.0499999999999998</c:v>
                </c:pt>
                <c:pt idx="11">
                  <c:v>2.15</c:v>
                </c:pt>
                <c:pt idx="12">
                  <c:v>2.66</c:v>
                </c:pt>
                <c:pt idx="13">
                  <c:v>2.17</c:v>
                </c:pt>
                <c:pt idx="14">
                  <c:v>2.25</c:v>
                </c:pt>
                <c:pt idx="15">
                  <c:v>2.2400000000000002</c:v>
                </c:pt>
                <c:pt idx="16">
                  <c:v>6.89</c:v>
                </c:pt>
                <c:pt idx="17">
                  <c:v>16.18</c:v>
                </c:pt>
                <c:pt idx="18">
                  <c:v>2.36</c:v>
                </c:pt>
                <c:pt idx="19">
                  <c:v>12.45</c:v>
                </c:pt>
                <c:pt idx="20">
                  <c:v>31.41</c:v>
                </c:pt>
                <c:pt idx="21">
                  <c:v>2.68</c:v>
                </c:pt>
                <c:pt idx="22">
                  <c:v>2.33</c:v>
                </c:pt>
                <c:pt idx="23">
                  <c:v>2.34</c:v>
                </c:pt>
                <c:pt idx="24">
                  <c:v>8.48</c:v>
                </c:pt>
                <c:pt idx="25">
                  <c:v>2.8200000000000003</c:v>
                </c:pt>
                <c:pt idx="26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606-431A-96E4-D554F1D0D2ED}"/>
            </c:ext>
          </c:extLst>
        </c:ser>
        <c:ser>
          <c:idx val="14"/>
          <c:order val="9"/>
          <c:tx>
            <c:v>Isaac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Plot!$B$238:$B$257</c:f>
              <c:numCache>
                <c:formatCode>General</c:formatCode>
                <c:ptCount val="20"/>
                <c:pt idx="0">
                  <c:v>6.54313468933106</c:v>
                </c:pt>
                <c:pt idx="1">
                  <c:v>7.5198392868042001</c:v>
                </c:pt>
                <c:pt idx="2">
                  <c:v>6.8409962654113796</c:v>
                </c:pt>
                <c:pt idx="3">
                  <c:v>10.667182922363301</c:v>
                </c:pt>
                <c:pt idx="4">
                  <c:v>11.549516677856399</c:v>
                </c:pt>
                <c:pt idx="5">
                  <c:v>6.0985293388366699</c:v>
                </c:pt>
                <c:pt idx="6">
                  <c:v>8.5244693756103498</c:v>
                </c:pt>
                <c:pt idx="7">
                  <c:v>8.4517955780029297</c:v>
                </c:pt>
                <c:pt idx="8">
                  <c:v>7.0889930725097701</c:v>
                </c:pt>
                <c:pt idx="9">
                  <c:v>9.1767826080322301</c:v>
                </c:pt>
                <c:pt idx="10">
                  <c:v>9.2490892410278303</c:v>
                </c:pt>
                <c:pt idx="11">
                  <c:v>11.886334419250501</c:v>
                </c:pt>
                <c:pt idx="12">
                  <c:v>12.1582746505737</c:v>
                </c:pt>
                <c:pt idx="13">
                  <c:v>28.2618007659912</c:v>
                </c:pt>
                <c:pt idx="14">
                  <c:v>23.5012321472168</c:v>
                </c:pt>
                <c:pt idx="15">
                  <c:v>35.915756225585902</c:v>
                </c:pt>
                <c:pt idx="16">
                  <c:v>13.4106397628784</c:v>
                </c:pt>
                <c:pt idx="17">
                  <c:v>9.5507850646972692</c:v>
                </c:pt>
                <c:pt idx="18">
                  <c:v>9.5507850646972692</c:v>
                </c:pt>
                <c:pt idx="19">
                  <c:v>20.554725646972699</c:v>
                </c:pt>
              </c:numCache>
            </c:numRef>
          </c:xVal>
          <c:yVal>
            <c:numRef>
              <c:f>Plot!$C$238:$C$257</c:f>
              <c:numCache>
                <c:formatCode>General</c:formatCode>
                <c:ptCount val="20"/>
                <c:pt idx="0">
                  <c:v>3.22</c:v>
                </c:pt>
                <c:pt idx="1">
                  <c:v>5.49</c:v>
                </c:pt>
                <c:pt idx="2">
                  <c:v>6.08</c:v>
                </c:pt>
                <c:pt idx="3">
                  <c:v>9.9499999999999993</c:v>
                </c:pt>
                <c:pt idx="4">
                  <c:v>10.25</c:v>
                </c:pt>
                <c:pt idx="5">
                  <c:v>5.13</c:v>
                </c:pt>
                <c:pt idx="6">
                  <c:v>7.96</c:v>
                </c:pt>
                <c:pt idx="7">
                  <c:v>6.1000000000000005</c:v>
                </c:pt>
                <c:pt idx="8">
                  <c:v>5.96</c:v>
                </c:pt>
                <c:pt idx="9">
                  <c:v>8.9499999999999993</c:v>
                </c:pt>
                <c:pt idx="10">
                  <c:v>7.56</c:v>
                </c:pt>
                <c:pt idx="11">
                  <c:v>10.579999999999998</c:v>
                </c:pt>
                <c:pt idx="12">
                  <c:v>9.48</c:v>
                </c:pt>
                <c:pt idx="13">
                  <c:v>23.91</c:v>
                </c:pt>
                <c:pt idx="14">
                  <c:v>20.23</c:v>
                </c:pt>
                <c:pt idx="15">
                  <c:v>33.200000000000003</c:v>
                </c:pt>
                <c:pt idx="16">
                  <c:v>12.49</c:v>
                </c:pt>
                <c:pt idx="17">
                  <c:v>10.039999999999999</c:v>
                </c:pt>
                <c:pt idx="18">
                  <c:v>7.52</c:v>
                </c:pt>
                <c:pt idx="19">
                  <c:v>16.28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606-431A-96E4-D554F1D0D2ED}"/>
            </c:ext>
          </c:extLst>
        </c:ser>
        <c:ser>
          <c:idx val="15"/>
          <c:order val="10"/>
          <c:tx>
            <c:v>Laura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Plot!$B$258:$B$286</c:f>
              <c:numCache>
                <c:formatCode>General</c:formatCode>
                <c:ptCount val="29"/>
                <c:pt idx="0">
                  <c:v>1.8587521314621001</c:v>
                </c:pt>
                <c:pt idx="1">
                  <c:v>1.84258592128754</c:v>
                </c:pt>
                <c:pt idx="2">
                  <c:v>2.5316567420959499</c:v>
                </c:pt>
                <c:pt idx="3">
                  <c:v>4.90875291824341</c:v>
                </c:pt>
                <c:pt idx="4">
                  <c:v>3.00093650817871</c:v>
                </c:pt>
                <c:pt idx="5">
                  <c:v>6.9199872016906703</c:v>
                </c:pt>
                <c:pt idx="6">
                  <c:v>7.4072809219360396</c:v>
                </c:pt>
                <c:pt idx="7">
                  <c:v>1.6084678173065201</c:v>
                </c:pt>
                <c:pt idx="8">
                  <c:v>6.3637981414794904</c:v>
                </c:pt>
                <c:pt idx="9">
                  <c:v>2.6814935207366899</c:v>
                </c:pt>
                <c:pt idx="10">
                  <c:v>1.55275595188141</c:v>
                </c:pt>
                <c:pt idx="11">
                  <c:v>2.5161905288696298</c:v>
                </c:pt>
                <c:pt idx="12">
                  <c:v>2.56960129737854</c:v>
                </c:pt>
                <c:pt idx="13">
                  <c:v>5.1192474365234402</c:v>
                </c:pt>
                <c:pt idx="14">
                  <c:v>2.6399791240692099</c:v>
                </c:pt>
                <c:pt idx="15">
                  <c:v>8.4910736083984393</c:v>
                </c:pt>
                <c:pt idx="16">
                  <c:v>12.389152526855501</c:v>
                </c:pt>
                <c:pt idx="17">
                  <c:v>22.206932067871101</c:v>
                </c:pt>
                <c:pt idx="18">
                  <c:v>5.6536121368408203</c:v>
                </c:pt>
                <c:pt idx="19">
                  <c:v>14.651165962219199</c:v>
                </c:pt>
                <c:pt idx="20">
                  <c:v>34.199054718017599</c:v>
                </c:pt>
                <c:pt idx="21">
                  <c:v>11.316707611084</c:v>
                </c:pt>
                <c:pt idx="22">
                  <c:v>4.0951595306396502</c:v>
                </c:pt>
                <c:pt idx="23">
                  <c:v>4.0730605125427299</c:v>
                </c:pt>
                <c:pt idx="24">
                  <c:v>4.0730605125427299</c:v>
                </c:pt>
                <c:pt idx="25">
                  <c:v>13.837394714355501</c:v>
                </c:pt>
                <c:pt idx="26">
                  <c:v>23.983903884887699</c:v>
                </c:pt>
                <c:pt idx="27">
                  <c:v>4.2818312644958496</c:v>
                </c:pt>
                <c:pt idx="28">
                  <c:v>3.32182836532593</c:v>
                </c:pt>
              </c:numCache>
            </c:numRef>
          </c:xVal>
          <c:yVal>
            <c:numRef>
              <c:f>Plot!$C$258:$C$286</c:f>
              <c:numCache>
                <c:formatCode>General</c:formatCode>
                <c:ptCount val="29"/>
                <c:pt idx="0">
                  <c:v>3.54</c:v>
                </c:pt>
                <c:pt idx="1">
                  <c:v>1.91</c:v>
                </c:pt>
                <c:pt idx="2">
                  <c:v>1.69</c:v>
                </c:pt>
                <c:pt idx="3">
                  <c:v>1.61</c:v>
                </c:pt>
                <c:pt idx="4">
                  <c:v>1.78</c:v>
                </c:pt>
                <c:pt idx="5">
                  <c:v>1.84</c:v>
                </c:pt>
                <c:pt idx="6">
                  <c:v>3.95</c:v>
                </c:pt>
                <c:pt idx="7">
                  <c:v>2.4900000000000002</c:v>
                </c:pt>
                <c:pt idx="8">
                  <c:v>2.4700000000000002</c:v>
                </c:pt>
                <c:pt idx="9">
                  <c:v>3.41</c:v>
                </c:pt>
                <c:pt idx="10">
                  <c:v>2.46</c:v>
                </c:pt>
                <c:pt idx="11">
                  <c:v>3.07</c:v>
                </c:pt>
                <c:pt idx="12">
                  <c:v>3.2</c:v>
                </c:pt>
                <c:pt idx="13">
                  <c:v>3.81</c:v>
                </c:pt>
                <c:pt idx="14">
                  <c:v>3.2299999999999995</c:v>
                </c:pt>
                <c:pt idx="15">
                  <c:v>3.88</c:v>
                </c:pt>
                <c:pt idx="16">
                  <c:v>10.81</c:v>
                </c:pt>
                <c:pt idx="17">
                  <c:v>18.760000000000002</c:v>
                </c:pt>
                <c:pt idx="18">
                  <c:v>5.67</c:v>
                </c:pt>
                <c:pt idx="19">
                  <c:v>15.66</c:v>
                </c:pt>
                <c:pt idx="20">
                  <c:v>34.269999999999996</c:v>
                </c:pt>
                <c:pt idx="21">
                  <c:v>6.38</c:v>
                </c:pt>
                <c:pt idx="22">
                  <c:v>3.16</c:v>
                </c:pt>
                <c:pt idx="23">
                  <c:v>4.9800000000000004</c:v>
                </c:pt>
                <c:pt idx="24">
                  <c:v>3.6100000000000003</c:v>
                </c:pt>
                <c:pt idx="25">
                  <c:v>9.67</c:v>
                </c:pt>
                <c:pt idx="26">
                  <c:v>25.12</c:v>
                </c:pt>
                <c:pt idx="27">
                  <c:v>5.3800000000000008</c:v>
                </c:pt>
                <c:pt idx="28">
                  <c:v>4.2300000000000004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606-431A-96E4-D554F1D0D2ED}"/>
            </c:ext>
          </c:extLst>
        </c:ser>
        <c:ser>
          <c:idx val="16"/>
          <c:order val="11"/>
          <c:tx>
            <c:v>Lee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Plot!$B$287:$B$309</c:f>
              <c:numCache>
                <c:formatCode>General</c:formatCode>
                <c:ptCount val="23"/>
                <c:pt idx="0">
                  <c:v>2.8905079364776598</c:v>
                </c:pt>
                <c:pt idx="1">
                  <c:v>6.2768292427062997</c:v>
                </c:pt>
                <c:pt idx="2">
                  <c:v>5.2084484100341797</c:v>
                </c:pt>
                <c:pt idx="3">
                  <c:v>8.6697673797607404</c:v>
                </c:pt>
                <c:pt idx="4">
                  <c:v>9.4046001434326207</c:v>
                </c:pt>
                <c:pt idx="5">
                  <c:v>2.9108982086181601</c:v>
                </c:pt>
                <c:pt idx="6">
                  <c:v>7.9541120529174796</c:v>
                </c:pt>
                <c:pt idx="7">
                  <c:v>3.66083788871765</c:v>
                </c:pt>
                <c:pt idx="8">
                  <c:v>3.5101194381713898</c:v>
                </c:pt>
                <c:pt idx="9">
                  <c:v>6.39343357086182</c:v>
                </c:pt>
                <c:pt idx="10">
                  <c:v>5.52766990661621</c:v>
                </c:pt>
                <c:pt idx="11">
                  <c:v>10.220248222351101</c:v>
                </c:pt>
                <c:pt idx="12">
                  <c:v>7.5141615867614799</c:v>
                </c:pt>
                <c:pt idx="13">
                  <c:v>15.149151802063001</c:v>
                </c:pt>
                <c:pt idx="14">
                  <c:v>25.0657043457031</c:v>
                </c:pt>
                <c:pt idx="15">
                  <c:v>18.9239387512207</c:v>
                </c:pt>
                <c:pt idx="16">
                  <c:v>35.495693206787102</c:v>
                </c:pt>
                <c:pt idx="17">
                  <c:v>12.308399200439499</c:v>
                </c:pt>
                <c:pt idx="18">
                  <c:v>6.9270071983337402</c:v>
                </c:pt>
                <c:pt idx="19">
                  <c:v>6.9238629341125497</c:v>
                </c:pt>
                <c:pt idx="20">
                  <c:v>6.9238629341125497</c:v>
                </c:pt>
                <c:pt idx="21">
                  <c:v>16.965282440185501</c:v>
                </c:pt>
                <c:pt idx="22">
                  <c:v>29.586986541748001</c:v>
                </c:pt>
              </c:numCache>
            </c:numRef>
          </c:xVal>
          <c:yVal>
            <c:numRef>
              <c:f>Plot!$C$287:$C$309</c:f>
              <c:numCache>
                <c:formatCode>General</c:formatCode>
                <c:ptCount val="23"/>
                <c:pt idx="0">
                  <c:v>2.06</c:v>
                </c:pt>
                <c:pt idx="1">
                  <c:v>2.5099999999999998</c:v>
                </c:pt>
                <c:pt idx="2">
                  <c:v>3.14</c:v>
                </c:pt>
                <c:pt idx="3">
                  <c:v>3.78</c:v>
                </c:pt>
                <c:pt idx="4">
                  <c:v>7.29</c:v>
                </c:pt>
                <c:pt idx="5">
                  <c:v>3.21</c:v>
                </c:pt>
                <c:pt idx="6">
                  <c:v>5.94</c:v>
                </c:pt>
                <c:pt idx="7">
                  <c:v>4.41</c:v>
                </c:pt>
                <c:pt idx="8">
                  <c:v>4.24</c:v>
                </c:pt>
                <c:pt idx="9">
                  <c:v>5.25</c:v>
                </c:pt>
                <c:pt idx="10">
                  <c:v>4.7699999999999996</c:v>
                </c:pt>
                <c:pt idx="11">
                  <c:v>6.85</c:v>
                </c:pt>
                <c:pt idx="12">
                  <c:v>5.8999999999999995</c:v>
                </c:pt>
                <c:pt idx="13">
                  <c:v>14.15</c:v>
                </c:pt>
                <c:pt idx="14">
                  <c:v>22.44</c:v>
                </c:pt>
                <c:pt idx="15">
                  <c:v>16.03</c:v>
                </c:pt>
                <c:pt idx="16">
                  <c:v>35.56</c:v>
                </c:pt>
                <c:pt idx="17">
                  <c:v>11.04</c:v>
                </c:pt>
                <c:pt idx="18">
                  <c:v>3.6500000000000004</c:v>
                </c:pt>
                <c:pt idx="19">
                  <c:v>8.15</c:v>
                </c:pt>
                <c:pt idx="20">
                  <c:v>5.24</c:v>
                </c:pt>
                <c:pt idx="21">
                  <c:v>13.88</c:v>
                </c:pt>
                <c:pt idx="22">
                  <c:v>33.94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606-431A-96E4-D554F1D0D2ED}"/>
            </c:ext>
          </c:extLst>
        </c:ser>
        <c:ser>
          <c:idx val="17"/>
          <c:order val="12"/>
          <c:tx>
            <c:v>Nate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Plot!$B$310:$B$332</c:f>
              <c:numCache>
                <c:formatCode>General</c:formatCode>
                <c:ptCount val="23"/>
                <c:pt idx="0">
                  <c:v>1.56845927238464</c:v>
                </c:pt>
                <c:pt idx="1">
                  <c:v>1.5601729154586801</c:v>
                </c:pt>
                <c:pt idx="2">
                  <c:v>2.3229398727417001</c:v>
                </c:pt>
                <c:pt idx="3">
                  <c:v>2.6613113880157502</c:v>
                </c:pt>
                <c:pt idx="4">
                  <c:v>6.6161475181579599</c:v>
                </c:pt>
                <c:pt idx="5">
                  <c:v>1.4528992176055899</c:v>
                </c:pt>
                <c:pt idx="6">
                  <c:v>4.0383586883544904</c:v>
                </c:pt>
                <c:pt idx="7">
                  <c:v>2.1225728988647501</c:v>
                </c:pt>
                <c:pt idx="8">
                  <c:v>2.04465532302856</c:v>
                </c:pt>
                <c:pt idx="9">
                  <c:v>1.8728837966918901</c:v>
                </c:pt>
                <c:pt idx="10">
                  <c:v>4.5751504898071298</c:v>
                </c:pt>
                <c:pt idx="11">
                  <c:v>2.0597894191741899</c:v>
                </c:pt>
                <c:pt idx="12">
                  <c:v>7.6916785240173304</c:v>
                </c:pt>
                <c:pt idx="13">
                  <c:v>2.1116135120391801</c:v>
                </c:pt>
                <c:pt idx="14">
                  <c:v>10.3044652938843</c:v>
                </c:pt>
                <c:pt idx="15">
                  <c:v>20.255271911621101</c:v>
                </c:pt>
                <c:pt idx="16">
                  <c:v>11.0379428863525</c:v>
                </c:pt>
                <c:pt idx="17">
                  <c:v>32.603191375732401</c:v>
                </c:pt>
                <c:pt idx="18">
                  <c:v>2.3176739215850799</c:v>
                </c:pt>
                <c:pt idx="19">
                  <c:v>2.3176932334899898</c:v>
                </c:pt>
                <c:pt idx="20">
                  <c:v>2.3176932334899898</c:v>
                </c:pt>
                <c:pt idx="21">
                  <c:v>2.2102460861206099</c:v>
                </c:pt>
                <c:pt idx="22">
                  <c:v>2.91533327102661</c:v>
                </c:pt>
              </c:numCache>
            </c:numRef>
          </c:xVal>
          <c:yVal>
            <c:numRef>
              <c:f>Plot!$C$310:$C$332</c:f>
              <c:numCache>
                <c:formatCode>General</c:formatCode>
                <c:ptCount val="23"/>
                <c:pt idx="0">
                  <c:v>3.49</c:v>
                </c:pt>
                <c:pt idx="1">
                  <c:v>2.44</c:v>
                </c:pt>
                <c:pt idx="2">
                  <c:v>2.54</c:v>
                </c:pt>
                <c:pt idx="3">
                  <c:v>2.58</c:v>
                </c:pt>
                <c:pt idx="4">
                  <c:v>2.96</c:v>
                </c:pt>
                <c:pt idx="5">
                  <c:v>2.8</c:v>
                </c:pt>
                <c:pt idx="6">
                  <c:v>2.77</c:v>
                </c:pt>
                <c:pt idx="7">
                  <c:v>3.08</c:v>
                </c:pt>
                <c:pt idx="8">
                  <c:v>2.78</c:v>
                </c:pt>
                <c:pt idx="9">
                  <c:v>2.78</c:v>
                </c:pt>
                <c:pt idx="10">
                  <c:v>3.27</c:v>
                </c:pt>
                <c:pt idx="11">
                  <c:v>2.8</c:v>
                </c:pt>
                <c:pt idx="12">
                  <c:v>2.79</c:v>
                </c:pt>
                <c:pt idx="13">
                  <c:v>3</c:v>
                </c:pt>
                <c:pt idx="14">
                  <c:v>6.94</c:v>
                </c:pt>
                <c:pt idx="15">
                  <c:v>15.95</c:v>
                </c:pt>
                <c:pt idx="16">
                  <c:v>10.62</c:v>
                </c:pt>
                <c:pt idx="17">
                  <c:v>31.220000000000002</c:v>
                </c:pt>
                <c:pt idx="18">
                  <c:v>2.59</c:v>
                </c:pt>
                <c:pt idx="19">
                  <c:v>2.94</c:v>
                </c:pt>
                <c:pt idx="20">
                  <c:v>3.07</c:v>
                </c:pt>
                <c:pt idx="21">
                  <c:v>3.6799999999999997</c:v>
                </c:pt>
                <c:pt idx="22">
                  <c:v>3.9099999999999997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606-431A-96E4-D554F1D0D2ED}"/>
            </c:ext>
          </c:extLst>
        </c:ser>
        <c:ser>
          <c:idx val="18"/>
          <c:order val="13"/>
          <c:tx>
            <c:v>Olga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Plot!$B$333:$B$361</c:f>
              <c:numCache>
                <c:formatCode>General</c:formatCode>
                <c:ptCount val="29"/>
                <c:pt idx="0">
                  <c:v>1.48227643966675</c:v>
                </c:pt>
                <c:pt idx="1">
                  <c:v>1.49347949028015</c:v>
                </c:pt>
                <c:pt idx="2">
                  <c:v>2.91453289985657</c:v>
                </c:pt>
                <c:pt idx="3">
                  <c:v>5.6254501342773402</c:v>
                </c:pt>
                <c:pt idx="4">
                  <c:v>3.74091625213623</c:v>
                </c:pt>
                <c:pt idx="5">
                  <c:v>7.9284815788268999</c:v>
                </c:pt>
                <c:pt idx="6">
                  <c:v>7.8859295845031703</c:v>
                </c:pt>
                <c:pt idx="7">
                  <c:v>1.9899208545684799</c:v>
                </c:pt>
                <c:pt idx="8">
                  <c:v>7.6049075126648003</c:v>
                </c:pt>
                <c:pt idx="9">
                  <c:v>1.5725284814834599</c:v>
                </c:pt>
                <c:pt idx="10">
                  <c:v>1.5771850347518901</c:v>
                </c:pt>
                <c:pt idx="11">
                  <c:v>2.0701386928558398</c:v>
                </c:pt>
                <c:pt idx="12">
                  <c:v>5.7497696876525897</c:v>
                </c:pt>
                <c:pt idx="13">
                  <c:v>1.6968082189559901</c:v>
                </c:pt>
                <c:pt idx="14">
                  <c:v>9.0180139541625994</c:v>
                </c:pt>
                <c:pt idx="15">
                  <c:v>2.3154628276825</c:v>
                </c:pt>
                <c:pt idx="16">
                  <c:v>11.4971218109131</c:v>
                </c:pt>
                <c:pt idx="17">
                  <c:v>20.101802825927699</c:v>
                </c:pt>
                <c:pt idx="18">
                  <c:v>4.1638946533203098</c:v>
                </c:pt>
                <c:pt idx="19">
                  <c:v>12.1510019302368</c:v>
                </c:pt>
                <c:pt idx="20">
                  <c:v>33.029167175292997</c:v>
                </c:pt>
                <c:pt idx="21">
                  <c:v>9.5702066421508807</c:v>
                </c:pt>
                <c:pt idx="22">
                  <c:v>3.4525215625762899</c:v>
                </c:pt>
                <c:pt idx="23">
                  <c:v>3.4494559764862101</c:v>
                </c:pt>
                <c:pt idx="24">
                  <c:v>3.4494559764862101</c:v>
                </c:pt>
                <c:pt idx="25">
                  <c:v>13.0069427490234</c:v>
                </c:pt>
                <c:pt idx="26">
                  <c:v>22.483201980590799</c:v>
                </c:pt>
                <c:pt idx="27">
                  <c:v>9.4513435363769496</c:v>
                </c:pt>
                <c:pt idx="28">
                  <c:v>2.5710477828979501</c:v>
                </c:pt>
              </c:numCache>
            </c:numRef>
          </c:xVal>
          <c:yVal>
            <c:numRef>
              <c:f>Plot!$C$333:$C$361</c:f>
              <c:numCache>
                <c:formatCode>General</c:formatCode>
                <c:ptCount val="29"/>
                <c:pt idx="0">
                  <c:v>3.8</c:v>
                </c:pt>
                <c:pt idx="1">
                  <c:v>1.89</c:v>
                </c:pt>
                <c:pt idx="2">
                  <c:v>1.88</c:v>
                </c:pt>
                <c:pt idx="3">
                  <c:v>2.94</c:v>
                </c:pt>
                <c:pt idx="4">
                  <c:v>3.24</c:v>
                </c:pt>
                <c:pt idx="5">
                  <c:v>6</c:v>
                </c:pt>
                <c:pt idx="6">
                  <c:v>6.21</c:v>
                </c:pt>
                <c:pt idx="7">
                  <c:v>3.07</c:v>
                </c:pt>
                <c:pt idx="8">
                  <c:v>4.82</c:v>
                </c:pt>
                <c:pt idx="9">
                  <c:v>2.6900000000000004</c:v>
                </c:pt>
                <c:pt idx="10">
                  <c:v>2.38</c:v>
                </c:pt>
                <c:pt idx="11">
                  <c:v>2.89</c:v>
                </c:pt>
                <c:pt idx="12">
                  <c:v>5.07</c:v>
                </c:pt>
                <c:pt idx="13">
                  <c:v>2.67</c:v>
                </c:pt>
                <c:pt idx="14">
                  <c:v>5.6</c:v>
                </c:pt>
                <c:pt idx="15">
                  <c:v>3.2399999999999993</c:v>
                </c:pt>
                <c:pt idx="16">
                  <c:v>9.36</c:v>
                </c:pt>
                <c:pt idx="17">
                  <c:v>16.97</c:v>
                </c:pt>
                <c:pt idx="18">
                  <c:v>5.27</c:v>
                </c:pt>
                <c:pt idx="19">
                  <c:v>12.48</c:v>
                </c:pt>
                <c:pt idx="20">
                  <c:v>31.16</c:v>
                </c:pt>
                <c:pt idx="21">
                  <c:v>7.2</c:v>
                </c:pt>
                <c:pt idx="22">
                  <c:v>4.03</c:v>
                </c:pt>
                <c:pt idx="23">
                  <c:v>4.95</c:v>
                </c:pt>
                <c:pt idx="24">
                  <c:v>4.58</c:v>
                </c:pt>
                <c:pt idx="25">
                  <c:v>9.4499999999999993</c:v>
                </c:pt>
                <c:pt idx="26">
                  <c:v>22.26</c:v>
                </c:pt>
                <c:pt idx="27">
                  <c:v>12.15</c:v>
                </c:pt>
                <c:pt idx="28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606-431A-96E4-D554F1D0D2ED}"/>
            </c:ext>
          </c:extLst>
        </c:ser>
        <c:ser>
          <c:idx val="19"/>
          <c:order val="14"/>
          <c:tx>
            <c:v>Sally and Beta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Plot!$B$362:$B$389</c:f>
              <c:numCache>
                <c:formatCode>General</c:formatCode>
                <c:ptCount val="28"/>
                <c:pt idx="0">
                  <c:v>2.88178634643555</c:v>
                </c:pt>
                <c:pt idx="1">
                  <c:v>2.8721008300781299</c:v>
                </c:pt>
                <c:pt idx="2">
                  <c:v>2.51152896881104</c:v>
                </c:pt>
                <c:pt idx="3">
                  <c:v>3.9944009780883798</c:v>
                </c:pt>
                <c:pt idx="4">
                  <c:v>2.6888508796691899</c:v>
                </c:pt>
                <c:pt idx="5">
                  <c:v>6.8900947570800799</c:v>
                </c:pt>
                <c:pt idx="6">
                  <c:v>6.9202075004577601</c:v>
                </c:pt>
                <c:pt idx="7">
                  <c:v>2.74417304992676</c:v>
                </c:pt>
                <c:pt idx="8">
                  <c:v>6.17327833175659</c:v>
                </c:pt>
                <c:pt idx="9">
                  <c:v>3.46857810020447</c:v>
                </c:pt>
                <c:pt idx="10">
                  <c:v>2.3596782684326199</c:v>
                </c:pt>
                <c:pt idx="11">
                  <c:v>3.2574110031127899</c:v>
                </c:pt>
                <c:pt idx="12">
                  <c:v>3.2625987529754599</c:v>
                </c:pt>
                <c:pt idx="13">
                  <c:v>4.9321317672729501</c:v>
                </c:pt>
                <c:pt idx="14">
                  <c:v>3.2767372131347701</c:v>
                </c:pt>
                <c:pt idx="15">
                  <c:v>7.8765211105346697</c:v>
                </c:pt>
                <c:pt idx="16">
                  <c:v>3.4100883007049601</c:v>
                </c:pt>
                <c:pt idx="17">
                  <c:v>11.2758598327637</c:v>
                </c:pt>
                <c:pt idx="18">
                  <c:v>20.707105636596701</c:v>
                </c:pt>
                <c:pt idx="19">
                  <c:v>4.19998979568481</c:v>
                </c:pt>
                <c:pt idx="20">
                  <c:v>12.203774452209499</c:v>
                </c:pt>
                <c:pt idx="21">
                  <c:v>32.997356414794901</c:v>
                </c:pt>
                <c:pt idx="22">
                  <c:v>10.8149366378784</c:v>
                </c:pt>
                <c:pt idx="23">
                  <c:v>3.6535696983337398</c:v>
                </c:pt>
                <c:pt idx="24">
                  <c:v>3.6473658084869398</c:v>
                </c:pt>
                <c:pt idx="25">
                  <c:v>3.6473658084869398</c:v>
                </c:pt>
                <c:pt idx="26">
                  <c:v>3.67012643814087</c:v>
                </c:pt>
                <c:pt idx="27">
                  <c:v>3.9009268283843999</c:v>
                </c:pt>
              </c:numCache>
            </c:numRef>
          </c:xVal>
          <c:yVal>
            <c:numRef>
              <c:f>Plot!$C$362:$C$389</c:f>
              <c:numCache>
                <c:formatCode>General</c:formatCode>
                <c:ptCount val="28"/>
                <c:pt idx="0">
                  <c:v>4.09</c:v>
                </c:pt>
                <c:pt idx="1">
                  <c:v>2.12</c:v>
                </c:pt>
                <c:pt idx="2">
                  <c:v>1.91</c:v>
                </c:pt>
                <c:pt idx="3">
                  <c:v>1.82</c:v>
                </c:pt>
                <c:pt idx="4">
                  <c:v>1.96</c:v>
                </c:pt>
                <c:pt idx="5">
                  <c:v>2.0299999999999998</c:v>
                </c:pt>
                <c:pt idx="6">
                  <c:v>3.23</c:v>
                </c:pt>
                <c:pt idx="7">
                  <c:v>3.08</c:v>
                </c:pt>
                <c:pt idx="8">
                  <c:v>2.85</c:v>
                </c:pt>
                <c:pt idx="9">
                  <c:v>3.91</c:v>
                </c:pt>
                <c:pt idx="10">
                  <c:v>3.12</c:v>
                </c:pt>
                <c:pt idx="11">
                  <c:v>3.54</c:v>
                </c:pt>
                <c:pt idx="12">
                  <c:v>3.64</c:v>
                </c:pt>
                <c:pt idx="13">
                  <c:v>4.16</c:v>
                </c:pt>
                <c:pt idx="14">
                  <c:v>3.63</c:v>
                </c:pt>
                <c:pt idx="15">
                  <c:v>3.61</c:v>
                </c:pt>
                <c:pt idx="16">
                  <c:v>3.7199999999999998</c:v>
                </c:pt>
                <c:pt idx="17">
                  <c:v>7.1</c:v>
                </c:pt>
                <c:pt idx="18">
                  <c:v>16.899999999999999</c:v>
                </c:pt>
                <c:pt idx="19">
                  <c:v>4.1100000000000003</c:v>
                </c:pt>
                <c:pt idx="20">
                  <c:v>10.43</c:v>
                </c:pt>
                <c:pt idx="21">
                  <c:v>30.84</c:v>
                </c:pt>
                <c:pt idx="22">
                  <c:v>4.74</c:v>
                </c:pt>
                <c:pt idx="23">
                  <c:v>2.7</c:v>
                </c:pt>
                <c:pt idx="24">
                  <c:v>3.96</c:v>
                </c:pt>
                <c:pt idx="25">
                  <c:v>2.89</c:v>
                </c:pt>
                <c:pt idx="26">
                  <c:v>4.3899999999999997</c:v>
                </c:pt>
                <c:pt idx="27">
                  <c:v>4.3600000000000003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606-431A-96E4-D554F1D0D2ED}"/>
            </c:ext>
          </c:extLst>
        </c:ser>
        <c:ser>
          <c:idx val="20"/>
          <c:order val="15"/>
          <c:tx>
            <c:v>Zeta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Plot!$B$390:$B$418</c:f>
              <c:numCache>
                <c:formatCode>General</c:formatCode>
                <c:ptCount val="29"/>
                <c:pt idx="0">
                  <c:v>1.25166893005371</c:v>
                </c:pt>
                <c:pt idx="1">
                  <c:v>1.23880898952484</c:v>
                </c:pt>
                <c:pt idx="2">
                  <c:v>2.3814320564270002</c:v>
                </c:pt>
                <c:pt idx="3">
                  <c:v>4.8460016250610396</c:v>
                </c:pt>
                <c:pt idx="4">
                  <c:v>3.0253353118896502</c:v>
                </c:pt>
                <c:pt idx="5">
                  <c:v>6.9653916358947798</c:v>
                </c:pt>
                <c:pt idx="6">
                  <c:v>7.2943768501281703</c:v>
                </c:pt>
                <c:pt idx="7">
                  <c:v>1.3411569595336901</c:v>
                </c:pt>
                <c:pt idx="8">
                  <c:v>6.6315684318542498</c:v>
                </c:pt>
                <c:pt idx="9">
                  <c:v>1.7189974784851101</c:v>
                </c:pt>
                <c:pt idx="10">
                  <c:v>1.2768319845199601</c:v>
                </c:pt>
                <c:pt idx="11">
                  <c:v>1.6521128416061399</c:v>
                </c:pt>
                <c:pt idx="12">
                  <c:v>1.6122235059738199</c:v>
                </c:pt>
                <c:pt idx="13">
                  <c:v>5.0833597183227504</c:v>
                </c:pt>
                <c:pt idx="14">
                  <c:v>1.73391914367676</c:v>
                </c:pt>
                <c:pt idx="15">
                  <c:v>8.0999031066894496</c:v>
                </c:pt>
                <c:pt idx="16">
                  <c:v>1.9118264913559</c:v>
                </c:pt>
                <c:pt idx="17">
                  <c:v>10.8453168869019</c:v>
                </c:pt>
                <c:pt idx="18">
                  <c:v>20.6470947265625</c:v>
                </c:pt>
                <c:pt idx="19">
                  <c:v>2.52888154983521</c:v>
                </c:pt>
                <c:pt idx="20">
                  <c:v>11.6429347991943</c:v>
                </c:pt>
                <c:pt idx="21">
                  <c:v>32.638065338134801</c:v>
                </c:pt>
                <c:pt idx="22">
                  <c:v>10.251777648925801</c:v>
                </c:pt>
                <c:pt idx="23">
                  <c:v>2.3104209899902299</c:v>
                </c:pt>
                <c:pt idx="24">
                  <c:v>2.3104405403137198</c:v>
                </c:pt>
                <c:pt idx="25">
                  <c:v>2.3104405403137198</c:v>
                </c:pt>
                <c:pt idx="26">
                  <c:v>21.5687770843506</c:v>
                </c:pt>
                <c:pt idx="27">
                  <c:v>3.10292649269104</c:v>
                </c:pt>
                <c:pt idx="28">
                  <c:v>2.25711274147034</c:v>
                </c:pt>
              </c:numCache>
            </c:numRef>
          </c:xVal>
          <c:yVal>
            <c:numRef>
              <c:f>Plot!$C$390:$C$418</c:f>
              <c:numCache>
                <c:formatCode>General</c:formatCode>
                <c:ptCount val="29"/>
                <c:pt idx="0">
                  <c:v>3.55</c:v>
                </c:pt>
                <c:pt idx="1">
                  <c:v>2.4900000000000002</c:v>
                </c:pt>
                <c:pt idx="2">
                  <c:v>2.5</c:v>
                </c:pt>
                <c:pt idx="3">
                  <c:v>3.77</c:v>
                </c:pt>
                <c:pt idx="4">
                  <c:v>2.84</c:v>
                </c:pt>
                <c:pt idx="5">
                  <c:v>3.11</c:v>
                </c:pt>
                <c:pt idx="6">
                  <c:v>4.4000000000000004</c:v>
                </c:pt>
                <c:pt idx="7">
                  <c:v>2.54</c:v>
                </c:pt>
                <c:pt idx="8">
                  <c:v>2.89</c:v>
                </c:pt>
                <c:pt idx="9">
                  <c:v>2.33</c:v>
                </c:pt>
                <c:pt idx="10">
                  <c:v>2.1</c:v>
                </c:pt>
                <c:pt idx="11">
                  <c:v>2.0699999999999998</c:v>
                </c:pt>
                <c:pt idx="12">
                  <c:v>2.25</c:v>
                </c:pt>
                <c:pt idx="13">
                  <c:v>2.88</c:v>
                </c:pt>
                <c:pt idx="14">
                  <c:v>2.2400000000000002</c:v>
                </c:pt>
                <c:pt idx="15">
                  <c:v>3.48</c:v>
                </c:pt>
                <c:pt idx="16">
                  <c:v>2.6100000000000003</c:v>
                </c:pt>
                <c:pt idx="17">
                  <c:v>10.7</c:v>
                </c:pt>
                <c:pt idx="18">
                  <c:v>19.760000000000002</c:v>
                </c:pt>
                <c:pt idx="19">
                  <c:v>4.18</c:v>
                </c:pt>
                <c:pt idx="20">
                  <c:v>14.76</c:v>
                </c:pt>
                <c:pt idx="21">
                  <c:v>32.950000000000003</c:v>
                </c:pt>
                <c:pt idx="22">
                  <c:v>4.1399999999999997</c:v>
                </c:pt>
                <c:pt idx="23">
                  <c:v>3.26</c:v>
                </c:pt>
                <c:pt idx="24">
                  <c:v>3.34</c:v>
                </c:pt>
                <c:pt idx="25">
                  <c:v>3.32</c:v>
                </c:pt>
                <c:pt idx="26">
                  <c:v>26.22</c:v>
                </c:pt>
                <c:pt idx="27">
                  <c:v>5.03</c:v>
                </c:pt>
                <c:pt idx="28">
                  <c:v>2.4499999999999997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606-431A-96E4-D554F1D0D2ED}"/>
            </c:ext>
          </c:extLst>
        </c:ser>
        <c:ser>
          <c:idx val="1"/>
          <c:order val="16"/>
          <c:tx>
            <c:v>1to1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GageUnc!$K$1:$K$51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GageUnc!$L$1:$L$51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06-431A-96E4-D554F1D0D2ED}"/>
            </c:ext>
          </c:extLst>
        </c:ser>
        <c:ser>
          <c:idx val="2"/>
          <c:order val="17"/>
          <c:tx>
            <c:v>+/- 1 RMSE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GageUnc!$K$1:$K$51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GageUnc!$N$1:$N$51</c:f>
              <c:numCache>
                <c:formatCode>0.00</c:formatCode>
                <c:ptCount val="51"/>
                <c:pt idx="0">
                  <c:v>2.098748124421244</c:v>
                </c:pt>
                <c:pt idx="1">
                  <c:v>3.098748124421244</c:v>
                </c:pt>
                <c:pt idx="2">
                  <c:v>4.0987481244212436</c:v>
                </c:pt>
                <c:pt idx="3">
                  <c:v>5.0987481244212436</c:v>
                </c:pt>
                <c:pt idx="4">
                  <c:v>6.0987481244212436</c:v>
                </c:pt>
                <c:pt idx="5">
                  <c:v>7.0987481244212436</c:v>
                </c:pt>
                <c:pt idx="6">
                  <c:v>8.0987481244212436</c:v>
                </c:pt>
                <c:pt idx="7">
                  <c:v>9.0987481244212436</c:v>
                </c:pt>
                <c:pt idx="8">
                  <c:v>10.098748124421244</c:v>
                </c:pt>
                <c:pt idx="9">
                  <c:v>11.098748124421244</c:v>
                </c:pt>
                <c:pt idx="10">
                  <c:v>12.098748124421244</c:v>
                </c:pt>
                <c:pt idx="11">
                  <c:v>13.098748124421244</c:v>
                </c:pt>
                <c:pt idx="12">
                  <c:v>14.098748124421244</c:v>
                </c:pt>
                <c:pt idx="13">
                  <c:v>15.098748124421244</c:v>
                </c:pt>
                <c:pt idx="14">
                  <c:v>16.098748124421245</c:v>
                </c:pt>
                <c:pt idx="15">
                  <c:v>17.098748124421245</c:v>
                </c:pt>
                <c:pt idx="16">
                  <c:v>18.098748124421245</c:v>
                </c:pt>
                <c:pt idx="17">
                  <c:v>19.098748124421245</c:v>
                </c:pt>
                <c:pt idx="18">
                  <c:v>20.098748124421245</c:v>
                </c:pt>
                <c:pt idx="19">
                  <c:v>21.098748124421245</c:v>
                </c:pt>
                <c:pt idx="20">
                  <c:v>22.098748124421245</c:v>
                </c:pt>
                <c:pt idx="21">
                  <c:v>23.098748124421245</c:v>
                </c:pt>
                <c:pt idx="22">
                  <c:v>24.098748124421245</c:v>
                </c:pt>
                <c:pt idx="23">
                  <c:v>25.098748124421245</c:v>
                </c:pt>
                <c:pt idx="24">
                  <c:v>26.098748124421245</c:v>
                </c:pt>
                <c:pt idx="25">
                  <c:v>27.098748124421245</c:v>
                </c:pt>
                <c:pt idx="26">
                  <c:v>28.098748124421245</c:v>
                </c:pt>
                <c:pt idx="27">
                  <c:v>29.098748124421245</c:v>
                </c:pt>
                <c:pt idx="28">
                  <c:v>30.098748124421245</c:v>
                </c:pt>
                <c:pt idx="29">
                  <c:v>31.098748124421245</c:v>
                </c:pt>
                <c:pt idx="30">
                  <c:v>32.098748124421242</c:v>
                </c:pt>
                <c:pt idx="31">
                  <c:v>33.098748124421242</c:v>
                </c:pt>
                <c:pt idx="32">
                  <c:v>34.098748124421242</c:v>
                </c:pt>
                <c:pt idx="33">
                  <c:v>35.098748124421242</c:v>
                </c:pt>
                <c:pt idx="34">
                  <c:v>36.098748124421242</c:v>
                </c:pt>
                <c:pt idx="35">
                  <c:v>37.098748124421242</c:v>
                </c:pt>
                <c:pt idx="36">
                  <c:v>38.098748124421242</c:v>
                </c:pt>
                <c:pt idx="37">
                  <c:v>39.098748124421242</c:v>
                </c:pt>
                <c:pt idx="38">
                  <c:v>40.098748124421242</c:v>
                </c:pt>
                <c:pt idx="39">
                  <c:v>41.098748124421242</c:v>
                </c:pt>
                <c:pt idx="40">
                  <c:v>42.098748124421242</c:v>
                </c:pt>
                <c:pt idx="41">
                  <c:v>43.098748124421242</c:v>
                </c:pt>
                <c:pt idx="42">
                  <c:v>44.098748124421242</c:v>
                </c:pt>
                <c:pt idx="43">
                  <c:v>45.098748124421242</c:v>
                </c:pt>
                <c:pt idx="44">
                  <c:v>46.098748124421242</c:v>
                </c:pt>
                <c:pt idx="45">
                  <c:v>47.098748124421242</c:v>
                </c:pt>
                <c:pt idx="46">
                  <c:v>48.098748124421242</c:v>
                </c:pt>
                <c:pt idx="47">
                  <c:v>49.098748124421242</c:v>
                </c:pt>
                <c:pt idx="48">
                  <c:v>50.098748124421242</c:v>
                </c:pt>
                <c:pt idx="49">
                  <c:v>51.098748124421242</c:v>
                </c:pt>
                <c:pt idx="50">
                  <c:v>52.098748124421242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06-431A-96E4-D554F1D0D2ED}"/>
            </c:ext>
          </c:extLst>
        </c:ser>
        <c:ser>
          <c:idx val="3"/>
          <c:order val="18"/>
          <c:tx>
            <c:v>-1std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GageUnc!$L$1:$L$51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GageUnc!$O$1:$O$51</c:f>
              <c:numCache>
                <c:formatCode>0.00</c:formatCode>
                <c:ptCount val="51"/>
                <c:pt idx="0">
                  <c:v>-2.098748124421244</c:v>
                </c:pt>
                <c:pt idx="1">
                  <c:v>-1.098748124421244</c:v>
                </c:pt>
                <c:pt idx="2">
                  <c:v>-9.8748124421244032E-2</c:v>
                </c:pt>
                <c:pt idx="3">
                  <c:v>0.90125187557875597</c:v>
                </c:pt>
                <c:pt idx="4">
                  <c:v>1.901251875578756</c:v>
                </c:pt>
                <c:pt idx="5">
                  <c:v>2.901251875578756</c:v>
                </c:pt>
                <c:pt idx="6">
                  <c:v>3.901251875578756</c:v>
                </c:pt>
                <c:pt idx="7">
                  <c:v>4.9012518755787564</c:v>
                </c:pt>
                <c:pt idx="8">
                  <c:v>5.9012518755787564</c:v>
                </c:pt>
                <c:pt idx="9">
                  <c:v>6.9012518755787564</c:v>
                </c:pt>
                <c:pt idx="10">
                  <c:v>7.9012518755787564</c:v>
                </c:pt>
                <c:pt idx="11">
                  <c:v>8.9012518755787564</c:v>
                </c:pt>
                <c:pt idx="12">
                  <c:v>9.9012518755787564</c:v>
                </c:pt>
                <c:pt idx="13">
                  <c:v>10.901251875578756</c:v>
                </c:pt>
                <c:pt idx="14">
                  <c:v>11.901251875578756</c:v>
                </c:pt>
                <c:pt idx="15">
                  <c:v>12.901251875578756</c:v>
                </c:pt>
                <c:pt idx="16">
                  <c:v>13.901251875578756</c:v>
                </c:pt>
                <c:pt idx="17">
                  <c:v>14.901251875578756</c:v>
                </c:pt>
                <c:pt idx="18">
                  <c:v>15.901251875578756</c:v>
                </c:pt>
                <c:pt idx="19">
                  <c:v>16.901251875578755</c:v>
                </c:pt>
                <c:pt idx="20">
                  <c:v>17.901251875578755</c:v>
                </c:pt>
                <c:pt idx="21">
                  <c:v>18.901251875578755</c:v>
                </c:pt>
                <c:pt idx="22">
                  <c:v>19.901251875578755</c:v>
                </c:pt>
                <c:pt idx="23">
                  <c:v>20.901251875578755</c:v>
                </c:pt>
                <c:pt idx="24">
                  <c:v>21.901251875578755</c:v>
                </c:pt>
                <c:pt idx="25">
                  <c:v>22.901251875578755</c:v>
                </c:pt>
                <c:pt idx="26">
                  <c:v>23.901251875578755</c:v>
                </c:pt>
                <c:pt idx="27">
                  <c:v>24.901251875578755</c:v>
                </c:pt>
                <c:pt idx="28">
                  <c:v>25.901251875578755</c:v>
                </c:pt>
                <c:pt idx="29">
                  <c:v>26.901251875578755</c:v>
                </c:pt>
                <c:pt idx="30">
                  <c:v>27.901251875578755</c:v>
                </c:pt>
                <c:pt idx="31">
                  <c:v>28.901251875578755</c:v>
                </c:pt>
                <c:pt idx="32">
                  <c:v>29.901251875578755</c:v>
                </c:pt>
                <c:pt idx="33">
                  <c:v>30.901251875578755</c:v>
                </c:pt>
                <c:pt idx="34">
                  <c:v>31.901251875578755</c:v>
                </c:pt>
                <c:pt idx="35">
                  <c:v>32.901251875578758</c:v>
                </c:pt>
                <c:pt idx="36">
                  <c:v>33.901251875578758</c:v>
                </c:pt>
                <c:pt idx="37">
                  <c:v>34.901251875578758</c:v>
                </c:pt>
                <c:pt idx="38">
                  <c:v>35.901251875578758</c:v>
                </c:pt>
                <c:pt idx="39">
                  <c:v>36.901251875578758</c:v>
                </c:pt>
                <c:pt idx="40">
                  <c:v>37.901251875578758</c:v>
                </c:pt>
                <c:pt idx="41">
                  <c:v>38.901251875578758</c:v>
                </c:pt>
                <c:pt idx="42">
                  <c:v>39.901251875578758</c:v>
                </c:pt>
                <c:pt idx="43">
                  <c:v>40.901251875578758</c:v>
                </c:pt>
                <c:pt idx="44">
                  <c:v>41.901251875578758</c:v>
                </c:pt>
                <c:pt idx="45">
                  <c:v>42.901251875578758</c:v>
                </c:pt>
                <c:pt idx="46">
                  <c:v>43.901251875578758</c:v>
                </c:pt>
                <c:pt idx="47">
                  <c:v>44.901251875578758</c:v>
                </c:pt>
                <c:pt idx="48">
                  <c:v>45.901251875578758</c:v>
                </c:pt>
                <c:pt idx="49">
                  <c:v>46.901251875578758</c:v>
                </c:pt>
                <c:pt idx="50">
                  <c:v>47.901251875578758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06-431A-96E4-D554F1D0D2ED}"/>
            </c:ext>
          </c:extLst>
        </c:ser>
        <c:ser>
          <c:idx val="4"/>
          <c:order val="19"/>
          <c:tx>
            <c:v>-1stdn</c:v>
          </c:tx>
          <c:spPr>
            <a:ln w="25400" cap="rnd">
              <a:solidFill>
                <a:schemeClr val="tx1">
                  <a:alpha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GageUnc!$L$1:$L$5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GageUnc!$O$1:$O$5</c:f>
              <c:numCache>
                <c:formatCode>0.00</c:formatCode>
                <c:ptCount val="5"/>
                <c:pt idx="0">
                  <c:v>-2.098748124421244</c:v>
                </c:pt>
                <c:pt idx="1">
                  <c:v>-1.098748124421244</c:v>
                </c:pt>
                <c:pt idx="2">
                  <c:v>-9.8748124421244032E-2</c:v>
                </c:pt>
                <c:pt idx="3">
                  <c:v>0.90125187557875597</c:v>
                </c:pt>
                <c:pt idx="4">
                  <c:v>1.901251875578756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06-431A-96E4-D554F1D0D2ED}"/>
            </c:ext>
          </c:extLst>
        </c:ser>
        <c:ser>
          <c:idx val="7"/>
          <c:order val="20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chemeClr val="accent1"/>
                </a:solidFill>
                <a:prstDash val="dash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616447944006999"/>
                  <c:y val="-6.4010391323926691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0.9624x - 0.3084</a:t>
                    </a:r>
                    <a:br>
                      <a:rPr lang="en-US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0.9352</a:t>
                    </a:r>
                    <a:endParaRPr lang="en-US">
                      <a:solidFill>
                        <a:schemeClr val="tx1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Plot!$B$2:$B$418</c:f>
              <c:numCache>
                <c:formatCode>General</c:formatCode>
                <c:ptCount val="417"/>
                <c:pt idx="0">
                  <c:v>1.7747837305069001</c:v>
                </c:pt>
                <c:pt idx="1">
                  <c:v>1.7643300294876101</c:v>
                </c:pt>
                <c:pt idx="2">
                  <c:v>2.4502096176147501</c:v>
                </c:pt>
                <c:pt idx="3">
                  <c:v>4.3228030204773003</c:v>
                </c:pt>
                <c:pt idx="4">
                  <c:v>2.9533932209014901</c:v>
                </c:pt>
                <c:pt idx="5">
                  <c:v>6.9931397438049299</c:v>
                </c:pt>
                <c:pt idx="6">
                  <c:v>7.6360449790954599</c:v>
                </c:pt>
                <c:pt idx="7">
                  <c:v>1.2978254556655899</c:v>
                </c:pt>
                <c:pt idx="8">
                  <c:v>6.4694113731384304</c:v>
                </c:pt>
                <c:pt idx="9">
                  <c:v>2.4952099323272701</c:v>
                </c:pt>
                <c:pt idx="10">
                  <c:v>2.3596179485321001</c:v>
                </c:pt>
                <c:pt idx="11">
                  <c:v>3.5841221809387198</c:v>
                </c:pt>
                <c:pt idx="12">
                  <c:v>5.1694192886352504</c:v>
                </c:pt>
                <c:pt idx="13">
                  <c:v>3.6750211715698198</c:v>
                </c:pt>
                <c:pt idx="14">
                  <c:v>9.7127122879028303</c:v>
                </c:pt>
                <c:pt idx="15">
                  <c:v>5.5770568847656303</c:v>
                </c:pt>
                <c:pt idx="16">
                  <c:v>14.760377883911101</c:v>
                </c:pt>
                <c:pt idx="17">
                  <c:v>8.9884366989135707</c:v>
                </c:pt>
                <c:pt idx="18">
                  <c:v>17.894950866699201</c:v>
                </c:pt>
                <c:pt idx="19">
                  <c:v>34.691097259521499</c:v>
                </c:pt>
                <c:pt idx="20">
                  <c:v>12.0711402893066</c:v>
                </c:pt>
                <c:pt idx="21">
                  <c:v>5.5747094154357901</c:v>
                </c:pt>
                <c:pt idx="22">
                  <c:v>5.5777354240417498</c:v>
                </c:pt>
                <c:pt idx="23">
                  <c:v>5.5777354240417498</c:v>
                </c:pt>
                <c:pt idx="24">
                  <c:v>17.406356811523398</c:v>
                </c:pt>
                <c:pt idx="25">
                  <c:v>28.687623977661101</c:v>
                </c:pt>
                <c:pt idx="26">
                  <c:v>3.0287299156189</c:v>
                </c:pt>
                <c:pt idx="27">
                  <c:v>3.4605119228363002</c:v>
                </c:pt>
                <c:pt idx="28">
                  <c:v>1.0305161476135301</c:v>
                </c:pt>
                <c:pt idx="29">
                  <c:v>0.384113729000092</c:v>
                </c:pt>
                <c:pt idx="30">
                  <c:v>1.92495560646057</c:v>
                </c:pt>
                <c:pt idx="31">
                  <c:v>6.36513328552246</c:v>
                </c:pt>
                <c:pt idx="32">
                  <c:v>6.6704859733581499</c:v>
                </c:pt>
                <c:pt idx="33">
                  <c:v>0.84762668609619096</c:v>
                </c:pt>
                <c:pt idx="34">
                  <c:v>2.9149236679077202</c:v>
                </c:pt>
                <c:pt idx="35">
                  <c:v>1.35436511039734</c:v>
                </c:pt>
                <c:pt idx="36">
                  <c:v>1.3260631561279299</c:v>
                </c:pt>
                <c:pt idx="37">
                  <c:v>3.68542551994324</c:v>
                </c:pt>
                <c:pt idx="38">
                  <c:v>1.3462396860122701</c:v>
                </c:pt>
                <c:pt idx="39">
                  <c:v>1.3738472461700399</c:v>
                </c:pt>
                <c:pt idx="40">
                  <c:v>10.230510711669901</c:v>
                </c:pt>
                <c:pt idx="41">
                  <c:v>19.193195343017599</c:v>
                </c:pt>
                <c:pt idx="42">
                  <c:v>10.0575723648071</c:v>
                </c:pt>
                <c:pt idx="43">
                  <c:v>1.4219319820404099</c:v>
                </c:pt>
                <c:pt idx="44">
                  <c:v>1.4219366312027</c:v>
                </c:pt>
                <c:pt idx="45">
                  <c:v>1.4219366312027</c:v>
                </c:pt>
                <c:pt idx="46">
                  <c:v>1.7448360919952399</c:v>
                </c:pt>
                <c:pt idx="47">
                  <c:v>1.74316370487213</c:v>
                </c:pt>
                <c:pt idx="48">
                  <c:v>5.3458561897277797</c:v>
                </c:pt>
                <c:pt idx="49">
                  <c:v>3.7474431991577202</c:v>
                </c:pt>
                <c:pt idx="50">
                  <c:v>7.52278709411621</c:v>
                </c:pt>
                <c:pt idx="51">
                  <c:v>2.1431634426116899</c:v>
                </c:pt>
                <c:pt idx="52">
                  <c:v>7.5633044242858896</c:v>
                </c:pt>
                <c:pt idx="53">
                  <c:v>2.3384270668029798</c:v>
                </c:pt>
                <c:pt idx="54">
                  <c:v>2.2785804271697998</c:v>
                </c:pt>
                <c:pt idx="55">
                  <c:v>3.0304300785064702</c:v>
                </c:pt>
                <c:pt idx="56">
                  <c:v>5.4484338760376003</c:v>
                </c:pt>
                <c:pt idx="57">
                  <c:v>3.1025092601776101</c:v>
                </c:pt>
                <c:pt idx="58">
                  <c:v>8.5261201858520508</c:v>
                </c:pt>
                <c:pt idx="59">
                  <c:v>4.5187416076660201</c:v>
                </c:pt>
                <c:pt idx="60">
                  <c:v>12.7478532791138</c:v>
                </c:pt>
                <c:pt idx="61">
                  <c:v>22.960983276367202</c:v>
                </c:pt>
                <c:pt idx="62">
                  <c:v>14.9496564865112</c:v>
                </c:pt>
                <c:pt idx="63">
                  <c:v>34.016136169433601</c:v>
                </c:pt>
                <c:pt idx="64">
                  <c:v>11.529076576232899</c:v>
                </c:pt>
                <c:pt idx="65">
                  <c:v>4.5333824157714799</c:v>
                </c:pt>
                <c:pt idx="66">
                  <c:v>4.5196471214294398</c:v>
                </c:pt>
                <c:pt idx="67">
                  <c:v>13.547269821166999</c:v>
                </c:pt>
                <c:pt idx="68">
                  <c:v>24.961597442626999</c:v>
                </c:pt>
                <c:pt idx="69">
                  <c:v>7.6003174781799299</c:v>
                </c:pt>
                <c:pt idx="70">
                  <c:v>3.1085188388824498</c:v>
                </c:pt>
                <c:pt idx="71">
                  <c:v>1.7548912763595601</c:v>
                </c:pt>
                <c:pt idx="72">
                  <c:v>1.74072730541229</c:v>
                </c:pt>
                <c:pt idx="73">
                  <c:v>2.5323634147643999</c:v>
                </c:pt>
                <c:pt idx="74">
                  <c:v>4.6066775321960503</c:v>
                </c:pt>
                <c:pt idx="75">
                  <c:v>3.0372765064239502</c:v>
                </c:pt>
                <c:pt idx="76">
                  <c:v>7.0073480606079102</c:v>
                </c:pt>
                <c:pt idx="77">
                  <c:v>7.4367904663085902</c:v>
                </c:pt>
                <c:pt idx="78">
                  <c:v>1.2796422243118299</c:v>
                </c:pt>
                <c:pt idx="79">
                  <c:v>6.4352269172668501</c:v>
                </c:pt>
                <c:pt idx="80">
                  <c:v>2.67950439453125</c:v>
                </c:pt>
                <c:pt idx="81">
                  <c:v>1.4560068845748899</c:v>
                </c:pt>
                <c:pt idx="82">
                  <c:v>2.4269831180572501</c:v>
                </c:pt>
                <c:pt idx="83">
                  <c:v>2.6317408084869398</c:v>
                </c:pt>
                <c:pt idx="84">
                  <c:v>5.1936402320861799</c:v>
                </c:pt>
                <c:pt idx="85">
                  <c:v>2.7122390270233199</c:v>
                </c:pt>
                <c:pt idx="86">
                  <c:v>8.3198385238647496</c:v>
                </c:pt>
                <c:pt idx="87">
                  <c:v>3.5651500225067099</c:v>
                </c:pt>
                <c:pt idx="88">
                  <c:v>12.2976484298706</c:v>
                </c:pt>
                <c:pt idx="89">
                  <c:v>22.031641006469702</c:v>
                </c:pt>
                <c:pt idx="90">
                  <c:v>5.35428667068481</c:v>
                </c:pt>
                <c:pt idx="91">
                  <c:v>14.554007530212401</c:v>
                </c:pt>
                <c:pt idx="92">
                  <c:v>33.899063110351598</c:v>
                </c:pt>
                <c:pt idx="93">
                  <c:v>11.3217678070068</c:v>
                </c:pt>
                <c:pt idx="94">
                  <c:v>4.0301814079284703</c:v>
                </c:pt>
                <c:pt idx="95">
                  <c:v>4.0200843811035201</c:v>
                </c:pt>
                <c:pt idx="96">
                  <c:v>4.0200843811035201</c:v>
                </c:pt>
                <c:pt idx="97">
                  <c:v>13.797681808471699</c:v>
                </c:pt>
                <c:pt idx="98">
                  <c:v>24.850339889526399</c:v>
                </c:pt>
                <c:pt idx="99">
                  <c:v>5.0286531448364302</c:v>
                </c:pt>
                <c:pt idx="100">
                  <c:v>5.1613750457763699</c:v>
                </c:pt>
                <c:pt idx="101">
                  <c:v>1.9542093276977499</c:v>
                </c:pt>
                <c:pt idx="102">
                  <c:v>1.9476903676986701</c:v>
                </c:pt>
                <c:pt idx="103">
                  <c:v>1.6429135799407999</c:v>
                </c:pt>
                <c:pt idx="104">
                  <c:v>3.9936172962188698</c:v>
                </c:pt>
                <c:pt idx="105">
                  <c:v>2.8888907432556201</c:v>
                </c:pt>
                <c:pt idx="106">
                  <c:v>7.1306881904602104</c:v>
                </c:pt>
                <c:pt idx="107">
                  <c:v>7.6970643997192401</c:v>
                </c:pt>
                <c:pt idx="108">
                  <c:v>1.5557951927185101</c:v>
                </c:pt>
                <c:pt idx="109">
                  <c:v>5.8360567092895499</c:v>
                </c:pt>
                <c:pt idx="110">
                  <c:v>1.7326465845107999</c:v>
                </c:pt>
                <c:pt idx="111">
                  <c:v>1.44899773597717</c:v>
                </c:pt>
                <c:pt idx="112">
                  <c:v>3.1734673976898198</c:v>
                </c:pt>
                <c:pt idx="113">
                  <c:v>6.3795046806335503</c:v>
                </c:pt>
                <c:pt idx="114">
                  <c:v>6.3791599273681596</c:v>
                </c:pt>
                <c:pt idx="115">
                  <c:v>6.4936480522155797</c:v>
                </c:pt>
                <c:pt idx="116">
                  <c:v>9.14300537109375</c:v>
                </c:pt>
                <c:pt idx="117">
                  <c:v>9.48724460601807</c:v>
                </c:pt>
                <c:pt idx="118">
                  <c:v>15.2803955078125</c:v>
                </c:pt>
                <c:pt idx="119">
                  <c:v>27.795467376708999</c:v>
                </c:pt>
                <c:pt idx="120">
                  <c:v>9.2791013717651403</c:v>
                </c:pt>
                <c:pt idx="121">
                  <c:v>20.7529411315918</c:v>
                </c:pt>
                <c:pt idx="122">
                  <c:v>36.550506591796903</c:v>
                </c:pt>
                <c:pt idx="123">
                  <c:v>11.3730764389038</c:v>
                </c:pt>
                <c:pt idx="124">
                  <c:v>6.7314910888671902</c:v>
                </c:pt>
                <c:pt idx="125">
                  <c:v>6.7005734443664604</c:v>
                </c:pt>
                <c:pt idx="126">
                  <c:v>6.7005734443664604</c:v>
                </c:pt>
                <c:pt idx="127">
                  <c:v>17.062202453613299</c:v>
                </c:pt>
                <c:pt idx="128">
                  <c:v>32.014503479003899</c:v>
                </c:pt>
                <c:pt idx="129">
                  <c:v>3.3223969936370898</c:v>
                </c:pt>
                <c:pt idx="130">
                  <c:v>2.53601145744324</c:v>
                </c:pt>
                <c:pt idx="131">
                  <c:v>3.5574634075164799</c:v>
                </c:pt>
                <c:pt idx="132">
                  <c:v>5.74534368515015</c:v>
                </c:pt>
                <c:pt idx="133">
                  <c:v>4.8994083404540998</c:v>
                </c:pt>
                <c:pt idx="134">
                  <c:v>8.6035842895507795</c:v>
                </c:pt>
                <c:pt idx="135">
                  <c:v>8.5138425827026403</c:v>
                </c:pt>
                <c:pt idx="136">
                  <c:v>3.4588291645050102</c:v>
                </c:pt>
                <c:pt idx="137">
                  <c:v>7.9618272781372097</c:v>
                </c:pt>
                <c:pt idx="138">
                  <c:v>4.0738792419433603</c:v>
                </c:pt>
                <c:pt idx="139">
                  <c:v>4.8929705619812003</c:v>
                </c:pt>
                <c:pt idx="140">
                  <c:v>9.2662305831909197</c:v>
                </c:pt>
                <c:pt idx="141">
                  <c:v>9.3495330810546893</c:v>
                </c:pt>
                <c:pt idx="142">
                  <c:v>12.4606580734253</c:v>
                </c:pt>
                <c:pt idx="143">
                  <c:v>12.7775478363037</c:v>
                </c:pt>
                <c:pt idx="144">
                  <c:v>17.3054084777832</c:v>
                </c:pt>
                <c:pt idx="145">
                  <c:v>27.449680328369102</c:v>
                </c:pt>
                <c:pt idx="146">
                  <c:v>21.085620880126999</c:v>
                </c:pt>
                <c:pt idx="147">
                  <c:v>36.522716522216797</c:v>
                </c:pt>
                <c:pt idx="148">
                  <c:v>12.519926071166999</c:v>
                </c:pt>
                <c:pt idx="149">
                  <c:v>8.3434467315673793</c:v>
                </c:pt>
                <c:pt idx="150">
                  <c:v>8.3440732955932599</c:v>
                </c:pt>
                <c:pt idx="151">
                  <c:v>17.267972946166999</c:v>
                </c:pt>
                <c:pt idx="152">
                  <c:v>29.1455898284912</c:v>
                </c:pt>
                <c:pt idx="153">
                  <c:v>2.0340173244476301</c:v>
                </c:pt>
                <c:pt idx="154">
                  <c:v>2.0504012107849099</c:v>
                </c:pt>
                <c:pt idx="155">
                  <c:v>6.1599831581115696</c:v>
                </c:pt>
                <c:pt idx="156">
                  <c:v>5.2700695991516104</c:v>
                </c:pt>
                <c:pt idx="157">
                  <c:v>8.7693166732788104</c:v>
                </c:pt>
                <c:pt idx="158">
                  <c:v>2.8191168308258101</c:v>
                </c:pt>
                <c:pt idx="159">
                  <c:v>8.1803655624389702</c:v>
                </c:pt>
                <c:pt idx="160">
                  <c:v>1.90528893470764</c:v>
                </c:pt>
                <c:pt idx="161">
                  <c:v>2.2421641349792498</c:v>
                </c:pt>
                <c:pt idx="162">
                  <c:v>3.3617844581603999</c:v>
                </c:pt>
                <c:pt idx="163">
                  <c:v>6.5727596282959002</c:v>
                </c:pt>
                <c:pt idx="164">
                  <c:v>3.41788983345032</c:v>
                </c:pt>
                <c:pt idx="165">
                  <c:v>10.026070594787599</c:v>
                </c:pt>
                <c:pt idx="166">
                  <c:v>4.8860750198364302</c:v>
                </c:pt>
                <c:pt idx="167">
                  <c:v>14.1496467590332</c:v>
                </c:pt>
                <c:pt idx="168">
                  <c:v>22.913082122802699</c:v>
                </c:pt>
                <c:pt idx="169">
                  <c:v>15.881507873535201</c:v>
                </c:pt>
                <c:pt idx="170">
                  <c:v>34.650730133056598</c:v>
                </c:pt>
                <c:pt idx="171">
                  <c:v>11.7999324798584</c:v>
                </c:pt>
                <c:pt idx="172">
                  <c:v>5.9023609161376998</c:v>
                </c:pt>
                <c:pt idx="173">
                  <c:v>5.9138917922973597</c:v>
                </c:pt>
                <c:pt idx="174">
                  <c:v>5.9138917922973597</c:v>
                </c:pt>
                <c:pt idx="175">
                  <c:v>14.5403709411621</c:v>
                </c:pt>
                <c:pt idx="176">
                  <c:v>25.693353652954102</c:v>
                </c:pt>
                <c:pt idx="177">
                  <c:v>8.3906126022338903</c:v>
                </c:pt>
                <c:pt idx="178">
                  <c:v>2.1134305000305198</c:v>
                </c:pt>
                <c:pt idx="179">
                  <c:v>3.1537833213806201</c:v>
                </c:pt>
                <c:pt idx="180">
                  <c:v>3.14753246307373</c:v>
                </c:pt>
                <c:pt idx="181">
                  <c:v>3.91373491287231</c:v>
                </c:pt>
                <c:pt idx="182">
                  <c:v>5.6785311698913601</c:v>
                </c:pt>
                <c:pt idx="183">
                  <c:v>4.2978162765502903</c:v>
                </c:pt>
                <c:pt idx="184">
                  <c:v>8.45715236663818</c:v>
                </c:pt>
                <c:pt idx="185">
                  <c:v>8.2150373458862305</c:v>
                </c:pt>
                <c:pt idx="186">
                  <c:v>3.0861001014709499</c:v>
                </c:pt>
                <c:pt idx="187">
                  <c:v>7.7206749916076696</c:v>
                </c:pt>
                <c:pt idx="188">
                  <c:v>4.8496851921081499</c:v>
                </c:pt>
                <c:pt idx="189">
                  <c:v>2.5884561538696298</c:v>
                </c:pt>
                <c:pt idx="190">
                  <c:v>3.73580694198608</c:v>
                </c:pt>
                <c:pt idx="191">
                  <c:v>5.4548311233520499</c:v>
                </c:pt>
                <c:pt idx="192">
                  <c:v>6.7741074562072798</c:v>
                </c:pt>
                <c:pt idx="193">
                  <c:v>5.5769238471984899</c:v>
                </c:pt>
                <c:pt idx="194">
                  <c:v>10.078198432922401</c:v>
                </c:pt>
                <c:pt idx="195">
                  <c:v>8.0270557403564506</c:v>
                </c:pt>
                <c:pt idx="196">
                  <c:v>12.170327186584499</c:v>
                </c:pt>
                <c:pt idx="197">
                  <c:v>21.897832870483398</c:v>
                </c:pt>
                <c:pt idx="198">
                  <c:v>6.9796085357665998</c:v>
                </c:pt>
                <c:pt idx="199">
                  <c:v>14.065894126892101</c:v>
                </c:pt>
                <c:pt idx="200">
                  <c:v>33.426174163818402</c:v>
                </c:pt>
                <c:pt idx="201">
                  <c:v>11.270515441894499</c:v>
                </c:pt>
                <c:pt idx="202">
                  <c:v>6.0226778984069798</c:v>
                </c:pt>
                <c:pt idx="203">
                  <c:v>6.0143284797668501</c:v>
                </c:pt>
                <c:pt idx="204">
                  <c:v>6.0143284797668501</c:v>
                </c:pt>
                <c:pt idx="205">
                  <c:v>14.709205627441399</c:v>
                </c:pt>
                <c:pt idx="206">
                  <c:v>5.27545166015625</c:v>
                </c:pt>
                <c:pt idx="207">
                  <c:v>14.829709053039601</c:v>
                </c:pt>
                <c:pt idx="208">
                  <c:v>8.5909538269043004</c:v>
                </c:pt>
                <c:pt idx="209">
                  <c:v>1.2953345775604199</c:v>
                </c:pt>
                <c:pt idx="210">
                  <c:v>1.2812638282775899</c:v>
                </c:pt>
                <c:pt idx="211">
                  <c:v>1.8425482511520399</c:v>
                </c:pt>
                <c:pt idx="212">
                  <c:v>4.1137104034423801</c:v>
                </c:pt>
                <c:pt idx="213">
                  <c:v>2.9043555259704599</c:v>
                </c:pt>
                <c:pt idx="214">
                  <c:v>6.9523983001709002</c:v>
                </c:pt>
                <c:pt idx="215">
                  <c:v>6.8705577850341797</c:v>
                </c:pt>
                <c:pt idx="216">
                  <c:v>1.17037808895111</c:v>
                </c:pt>
                <c:pt idx="217">
                  <c:v>5.86962795257568</c:v>
                </c:pt>
                <c:pt idx="218">
                  <c:v>1.8521910905837999</c:v>
                </c:pt>
                <c:pt idx="219">
                  <c:v>1.76886594295502</c:v>
                </c:pt>
                <c:pt idx="220">
                  <c:v>1.5585350990295399</c:v>
                </c:pt>
                <c:pt idx="221">
                  <c:v>4.9298162460327202</c:v>
                </c:pt>
                <c:pt idx="222">
                  <c:v>1.7800418138503999</c:v>
                </c:pt>
                <c:pt idx="223">
                  <c:v>7.6005153656005904</c:v>
                </c:pt>
                <c:pt idx="224">
                  <c:v>1.8080533742904701</c:v>
                </c:pt>
                <c:pt idx="225">
                  <c:v>10.003471374511699</c:v>
                </c:pt>
                <c:pt idx="226">
                  <c:v>19.330123901367202</c:v>
                </c:pt>
                <c:pt idx="227">
                  <c:v>1.81040298938751</c:v>
                </c:pt>
                <c:pt idx="228">
                  <c:v>9.9020843505859393</c:v>
                </c:pt>
                <c:pt idx="229">
                  <c:v>32.237846374511697</c:v>
                </c:pt>
                <c:pt idx="230">
                  <c:v>1.8097038269043</c:v>
                </c:pt>
                <c:pt idx="231">
                  <c:v>1.8097119331359901</c:v>
                </c:pt>
                <c:pt idx="232">
                  <c:v>1.8097119331359901</c:v>
                </c:pt>
                <c:pt idx="233">
                  <c:v>12.133440017700201</c:v>
                </c:pt>
                <c:pt idx="234">
                  <c:v>1.9080952405929601</c:v>
                </c:pt>
                <c:pt idx="235">
                  <c:v>2.1765878200531001</c:v>
                </c:pt>
                <c:pt idx="236">
                  <c:v>6.54313468933106</c:v>
                </c:pt>
                <c:pt idx="237">
                  <c:v>7.5198392868042001</c:v>
                </c:pt>
                <c:pt idx="238">
                  <c:v>6.8409962654113796</c:v>
                </c:pt>
                <c:pt idx="239">
                  <c:v>10.667182922363301</c:v>
                </c:pt>
                <c:pt idx="240">
                  <c:v>11.549516677856399</c:v>
                </c:pt>
                <c:pt idx="241">
                  <c:v>6.0985293388366699</c:v>
                </c:pt>
                <c:pt idx="242">
                  <c:v>8.5244693756103498</c:v>
                </c:pt>
                <c:pt idx="243">
                  <c:v>8.4517955780029297</c:v>
                </c:pt>
                <c:pt idx="244">
                  <c:v>7.0889930725097701</c:v>
                </c:pt>
                <c:pt idx="245">
                  <c:v>9.1767826080322301</c:v>
                </c:pt>
                <c:pt idx="246">
                  <c:v>9.2490892410278303</c:v>
                </c:pt>
                <c:pt idx="247">
                  <c:v>11.886334419250501</c:v>
                </c:pt>
                <c:pt idx="248">
                  <c:v>12.1582746505737</c:v>
                </c:pt>
                <c:pt idx="249">
                  <c:v>28.2618007659912</c:v>
                </c:pt>
                <c:pt idx="250">
                  <c:v>23.5012321472168</c:v>
                </c:pt>
                <c:pt idx="251">
                  <c:v>35.915756225585902</c:v>
                </c:pt>
                <c:pt idx="252">
                  <c:v>13.4106397628784</c:v>
                </c:pt>
                <c:pt idx="253">
                  <c:v>9.5507850646972692</c:v>
                </c:pt>
                <c:pt idx="254">
                  <c:v>9.5507850646972692</c:v>
                </c:pt>
                <c:pt idx="255">
                  <c:v>20.554725646972699</c:v>
                </c:pt>
                <c:pt idx="256">
                  <c:v>1.8587521314621001</c:v>
                </c:pt>
                <c:pt idx="257">
                  <c:v>1.84258592128754</c:v>
                </c:pt>
                <c:pt idx="258">
                  <c:v>2.5316567420959499</c:v>
                </c:pt>
                <c:pt idx="259">
                  <c:v>4.90875291824341</c:v>
                </c:pt>
                <c:pt idx="260">
                  <c:v>3.00093650817871</c:v>
                </c:pt>
                <c:pt idx="261">
                  <c:v>6.9199872016906703</c:v>
                </c:pt>
                <c:pt idx="262">
                  <c:v>7.4072809219360396</c:v>
                </c:pt>
                <c:pt idx="263">
                  <c:v>1.6084678173065201</c:v>
                </c:pt>
                <c:pt idx="264">
                  <c:v>6.3637981414794904</c:v>
                </c:pt>
                <c:pt idx="265">
                  <c:v>2.6814935207366899</c:v>
                </c:pt>
                <c:pt idx="266">
                  <c:v>1.55275595188141</c:v>
                </c:pt>
                <c:pt idx="267">
                  <c:v>2.5161905288696298</c:v>
                </c:pt>
                <c:pt idx="268">
                  <c:v>2.56960129737854</c:v>
                </c:pt>
                <c:pt idx="269">
                  <c:v>5.1192474365234402</c:v>
                </c:pt>
                <c:pt idx="270">
                  <c:v>2.6399791240692099</c:v>
                </c:pt>
                <c:pt idx="271">
                  <c:v>8.4910736083984393</c:v>
                </c:pt>
                <c:pt idx="272">
                  <c:v>12.389152526855501</c:v>
                </c:pt>
                <c:pt idx="273">
                  <c:v>22.206932067871101</c:v>
                </c:pt>
                <c:pt idx="274">
                  <c:v>5.6536121368408203</c:v>
                </c:pt>
                <c:pt idx="275">
                  <c:v>14.651165962219199</c:v>
                </c:pt>
                <c:pt idx="276">
                  <c:v>34.199054718017599</c:v>
                </c:pt>
                <c:pt idx="277">
                  <c:v>11.316707611084</c:v>
                </c:pt>
                <c:pt idx="278">
                  <c:v>4.0951595306396502</c:v>
                </c:pt>
                <c:pt idx="279">
                  <c:v>4.0730605125427299</c:v>
                </c:pt>
                <c:pt idx="280">
                  <c:v>4.0730605125427299</c:v>
                </c:pt>
                <c:pt idx="281">
                  <c:v>13.837394714355501</c:v>
                </c:pt>
                <c:pt idx="282">
                  <c:v>23.983903884887699</c:v>
                </c:pt>
                <c:pt idx="283">
                  <c:v>4.2818312644958496</c:v>
                </c:pt>
                <c:pt idx="284">
                  <c:v>3.32182836532593</c:v>
                </c:pt>
                <c:pt idx="285">
                  <c:v>2.8905079364776598</c:v>
                </c:pt>
                <c:pt idx="286">
                  <c:v>6.2768292427062997</c:v>
                </c:pt>
                <c:pt idx="287">
                  <c:v>5.2084484100341797</c:v>
                </c:pt>
                <c:pt idx="288">
                  <c:v>8.6697673797607404</c:v>
                </c:pt>
                <c:pt idx="289">
                  <c:v>9.4046001434326207</c:v>
                </c:pt>
                <c:pt idx="290">
                  <c:v>2.9108982086181601</c:v>
                </c:pt>
                <c:pt idx="291">
                  <c:v>7.9541120529174796</c:v>
                </c:pt>
                <c:pt idx="292">
                  <c:v>3.66083788871765</c:v>
                </c:pt>
                <c:pt idx="293">
                  <c:v>3.5101194381713898</c:v>
                </c:pt>
                <c:pt idx="294">
                  <c:v>6.39343357086182</c:v>
                </c:pt>
                <c:pt idx="295">
                  <c:v>5.52766990661621</c:v>
                </c:pt>
                <c:pt idx="296">
                  <c:v>10.220248222351101</c:v>
                </c:pt>
                <c:pt idx="297">
                  <c:v>7.5141615867614799</c:v>
                </c:pt>
                <c:pt idx="298">
                  <c:v>15.149151802063001</c:v>
                </c:pt>
                <c:pt idx="299">
                  <c:v>25.0657043457031</c:v>
                </c:pt>
                <c:pt idx="300">
                  <c:v>18.9239387512207</c:v>
                </c:pt>
                <c:pt idx="301">
                  <c:v>35.495693206787102</c:v>
                </c:pt>
                <c:pt idx="302">
                  <c:v>12.308399200439499</c:v>
                </c:pt>
                <c:pt idx="303">
                  <c:v>6.9270071983337402</c:v>
                </c:pt>
                <c:pt idx="304">
                  <c:v>6.9238629341125497</c:v>
                </c:pt>
                <c:pt idx="305">
                  <c:v>6.9238629341125497</c:v>
                </c:pt>
                <c:pt idx="306">
                  <c:v>16.965282440185501</c:v>
                </c:pt>
                <c:pt idx="307">
                  <c:v>29.586986541748001</c:v>
                </c:pt>
                <c:pt idx="308">
                  <c:v>1.56845927238464</c:v>
                </c:pt>
                <c:pt idx="309">
                  <c:v>1.5601729154586801</c:v>
                </c:pt>
                <c:pt idx="310">
                  <c:v>2.3229398727417001</c:v>
                </c:pt>
                <c:pt idx="311">
                  <c:v>2.6613113880157502</c:v>
                </c:pt>
                <c:pt idx="312">
                  <c:v>6.6161475181579599</c:v>
                </c:pt>
                <c:pt idx="313">
                  <c:v>1.4528992176055899</c:v>
                </c:pt>
                <c:pt idx="314">
                  <c:v>4.0383586883544904</c:v>
                </c:pt>
                <c:pt idx="315">
                  <c:v>2.1225728988647501</c:v>
                </c:pt>
                <c:pt idx="316">
                  <c:v>2.04465532302856</c:v>
                </c:pt>
                <c:pt idx="317">
                  <c:v>1.8728837966918901</c:v>
                </c:pt>
                <c:pt idx="318">
                  <c:v>4.5751504898071298</c:v>
                </c:pt>
                <c:pt idx="319">
                  <c:v>2.0597894191741899</c:v>
                </c:pt>
                <c:pt idx="320">
                  <c:v>7.6916785240173304</c:v>
                </c:pt>
                <c:pt idx="321">
                  <c:v>2.1116135120391801</c:v>
                </c:pt>
                <c:pt idx="322">
                  <c:v>10.3044652938843</c:v>
                </c:pt>
                <c:pt idx="323">
                  <c:v>20.255271911621101</c:v>
                </c:pt>
                <c:pt idx="324">
                  <c:v>11.0379428863525</c:v>
                </c:pt>
                <c:pt idx="325">
                  <c:v>32.603191375732401</c:v>
                </c:pt>
                <c:pt idx="326">
                  <c:v>2.3176739215850799</c:v>
                </c:pt>
                <c:pt idx="327">
                  <c:v>2.3176932334899898</c:v>
                </c:pt>
                <c:pt idx="328">
                  <c:v>2.3176932334899898</c:v>
                </c:pt>
                <c:pt idx="329">
                  <c:v>2.2102460861206099</c:v>
                </c:pt>
                <c:pt idx="330">
                  <c:v>2.91533327102661</c:v>
                </c:pt>
                <c:pt idx="331">
                  <c:v>1.48227643966675</c:v>
                </c:pt>
                <c:pt idx="332">
                  <c:v>1.49347949028015</c:v>
                </c:pt>
                <c:pt idx="333">
                  <c:v>2.91453289985657</c:v>
                </c:pt>
                <c:pt idx="334">
                  <c:v>5.6254501342773402</c:v>
                </c:pt>
                <c:pt idx="335">
                  <c:v>3.74091625213623</c:v>
                </c:pt>
                <c:pt idx="336">
                  <c:v>7.9284815788268999</c:v>
                </c:pt>
                <c:pt idx="337">
                  <c:v>7.8859295845031703</c:v>
                </c:pt>
                <c:pt idx="338">
                  <c:v>1.9899208545684799</c:v>
                </c:pt>
                <c:pt idx="339">
                  <c:v>7.6049075126648003</c:v>
                </c:pt>
                <c:pt idx="340">
                  <c:v>1.5725284814834599</c:v>
                </c:pt>
                <c:pt idx="341">
                  <c:v>1.5771850347518901</c:v>
                </c:pt>
                <c:pt idx="342">
                  <c:v>2.0701386928558398</c:v>
                </c:pt>
                <c:pt idx="343">
                  <c:v>5.7497696876525897</c:v>
                </c:pt>
                <c:pt idx="344">
                  <c:v>1.6968082189559901</c:v>
                </c:pt>
                <c:pt idx="345">
                  <c:v>9.0180139541625994</c:v>
                </c:pt>
                <c:pt idx="346">
                  <c:v>2.3154628276825</c:v>
                </c:pt>
                <c:pt idx="347">
                  <c:v>11.4971218109131</c:v>
                </c:pt>
                <c:pt idx="348">
                  <c:v>20.101802825927699</c:v>
                </c:pt>
                <c:pt idx="349">
                  <c:v>4.1638946533203098</c:v>
                </c:pt>
                <c:pt idx="350">
                  <c:v>12.1510019302368</c:v>
                </c:pt>
                <c:pt idx="351">
                  <c:v>33.029167175292997</c:v>
                </c:pt>
                <c:pt idx="352">
                  <c:v>9.5702066421508807</c:v>
                </c:pt>
                <c:pt idx="353">
                  <c:v>3.4525215625762899</c:v>
                </c:pt>
                <c:pt idx="354">
                  <c:v>3.4494559764862101</c:v>
                </c:pt>
                <c:pt idx="355">
                  <c:v>3.4494559764862101</c:v>
                </c:pt>
                <c:pt idx="356">
                  <c:v>13.0069427490234</c:v>
                </c:pt>
                <c:pt idx="357">
                  <c:v>22.483201980590799</c:v>
                </c:pt>
                <c:pt idx="358">
                  <c:v>9.4513435363769496</c:v>
                </c:pt>
                <c:pt idx="359">
                  <c:v>2.5710477828979501</c:v>
                </c:pt>
                <c:pt idx="360">
                  <c:v>2.88178634643555</c:v>
                </c:pt>
                <c:pt idx="361">
                  <c:v>2.8721008300781299</c:v>
                </c:pt>
                <c:pt idx="362">
                  <c:v>2.51152896881104</c:v>
                </c:pt>
                <c:pt idx="363">
                  <c:v>3.9944009780883798</c:v>
                </c:pt>
                <c:pt idx="364">
                  <c:v>2.6888508796691899</c:v>
                </c:pt>
                <c:pt idx="365">
                  <c:v>6.8900947570800799</c:v>
                </c:pt>
                <c:pt idx="366">
                  <c:v>6.9202075004577601</c:v>
                </c:pt>
                <c:pt idx="367">
                  <c:v>2.74417304992676</c:v>
                </c:pt>
                <c:pt idx="368">
                  <c:v>6.17327833175659</c:v>
                </c:pt>
                <c:pt idx="369">
                  <c:v>3.46857810020447</c:v>
                </c:pt>
                <c:pt idx="370">
                  <c:v>2.3596782684326199</c:v>
                </c:pt>
                <c:pt idx="371">
                  <c:v>3.2574110031127899</c:v>
                </c:pt>
                <c:pt idx="372">
                  <c:v>3.2625987529754599</c:v>
                </c:pt>
                <c:pt idx="373">
                  <c:v>4.9321317672729501</c:v>
                </c:pt>
                <c:pt idx="374">
                  <c:v>3.2767372131347701</c:v>
                </c:pt>
                <c:pt idx="375">
                  <c:v>7.8765211105346697</c:v>
                </c:pt>
                <c:pt idx="376">
                  <c:v>3.4100883007049601</c:v>
                </c:pt>
                <c:pt idx="377">
                  <c:v>11.2758598327637</c:v>
                </c:pt>
                <c:pt idx="378">
                  <c:v>20.707105636596701</c:v>
                </c:pt>
                <c:pt idx="379">
                  <c:v>4.19998979568481</c:v>
                </c:pt>
                <c:pt idx="380">
                  <c:v>12.203774452209499</c:v>
                </c:pt>
                <c:pt idx="381">
                  <c:v>32.997356414794901</c:v>
                </c:pt>
                <c:pt idx="382">
                  <c:v>10.8149366378784</c:v>
                </c:pt>
                <c:pt idx="383">
                  <c:v>3.6535696983337398</c:v>
                </c:pt>
                <c:pt idx="384">
                  <c:v>3.6473658084869398</c:v>
                </c:pt>
                <c:pt idx="385">
                  <c:v>3.6473658084869398</c:v>
                </c:pt>
                <c:pt idx="386">
                  <c:v>3.67012643814087</c:v>
                </c:pt>
                <c:pt idx="387">
                  <c:v>3.9009268283843999</c:v>
                </c:pt>
                <c:pt idx="388">
                  <c:v>1.25166893005371</c:v>
                </c:pt>
                <c:pt idx="389">
                  <c:v>1.23880898952484</c:v>
                </c:pt>
                <c:pt idx="390">
                  <c:v>2.3814320564270002</c:v>
                </c:pt>
                <c:pt idx="391">
                  <c:v>4.8460016250610396</c:v>
                </c:pt>
                <c:pt idx="392">
                  <c:v>3.0253353118896502</c:v>
                </c:pt>
                <c:pt idx="393">
                  <c:v>6.9653916358947798</c:v>
                </c:pt>
                <c:pt idx="394">
                  <c:v>7.2943768501281703</c:v>
                </c:pt>
                <c:pt idx="395">
                  <c:v>1.3411569595336901</c:v>
                </c:pt>
                <c:pt idx="396">
                  <c:v>6.6315684318542498</c:v>
                </c:pt>
                <c:pt idx="397">
                  <c:v>1.7189974784851101</c:v>
                </c:pt>
                <c:pt idx="398">
                  <c:v>1.2768319845199601</c:v>
                </c:pt>
                <c:pt idx="399">
                  <c:v>1.6521128416061399</c:v>
                </c:pt>
                <c:pt idx="400">
                  <c:v>1.6122235059738199</c:v>
                </c:pt>
                <c:pt idx="401">
                  <c:v>5.0833597183227504</c:v>
                </c:pt>
                <c:pt idx="402">
                  <c:v>1.73391914367676</c:v>
                </c:pt>
                <c:pt idx="403">
                  <c:v>8.0999031066894496</c:v>
                </c:pt>
                <c:pt idx="404">
                  <c:v>1.9118264913559</c:v>
                </c:pt>
                <c:pt idx="405">
                  <c:v>10.8453168869019</c:v>
                </c:pt>
                <c:pt idx="406">
                  <c:v>20.6470947265625</c:v>
                </c:pt>
                <c:pt idx="407">
                  <c:v>2.52888154983521</c:v>
                </c:pt>
                <c:pt idx="408">
                  <c:v>11.6429347991943</c:v>
                </c:pt>
                <c:pt idx="409">
                  <c:v>32.638065338134801</c:v>
                </c:pt>
                <c:pt idx="410">
                  <c:v>10.251777648925801</c:v>
                </c:pt>
                <c:pt idx="411">
                  <c:v>2.3104209899902299</c:v>
                </c:pt>
                <c:pt idx="412">
                  <c:v>2.3104405403137198</c:v>
                </c:pt>
                <c:pt idx="413">
                  <c:v>2.3104405403137198</c:v>
                </c:pt>
                <c:pt idx="414">
                  <c:v>21.5687770843506</c:v>
                </c:pt>
                <c:pt idx="415">
                  <c:v>3.10292649269104</c:v>
                </c:pt>
                <c:pt idx="416">
                  <c:v>2.25711274147034</c:v>
                </c:pt>
              </c:numCache>
            </c:numRef>
          </c:xVal>
          <c:yVal>
            <c:numRef>
              <c:f>Plot!$C$2:$C$418</c:f>
              <c:numCache>
                <c:formatCode>General</c:formatCode>
                <c:ptCount val="417"/>
                <c:pt idx="0">
                  <c:v>3.57</c:v>
                </c:pt>
                <c:pt idx="1">
                  <c:v>2.16</c:v>
                </c:pt>
                <c:pt idx="2">
                  <c:v>1.95</c:v>
                </c:pt>
                <c:pt idx="3">
                  <c:v>1.96</c:v>
                </c:pt>
                <c:pt idx="4">
                  <c:v>2.09</c:v>
                </c:pt>
                <c:pt idx="5">
                  <c:v>2.09</c:v>
                </c:pt>
                <c:pt idx="6">
                  <c:v>4.4800000000000004</c:v>
                </c:pt>
                <c:pt idx="7">
                  <c:v>2.4900000000000002</c:v>
                </c:pt>
                <c:pt idx="8">
                  <c:v>2.58</c:v>
                </c:pt>
                <c:pt idx="9">
                  <c:v>3.42</c:v>
                </c:pt>
                <c:pt idx="10">
                  <c:v>3.01</c:v>
                </c:pt>
                <c:pt idx="11">
                  <c:v>3.5</c:v>
                </c:pt>
                <c:pt idx="12">
                  <c:v>4.05</c:v>
                </c:pt>
                <c:pt idx="13">
                  <c:v>3.5999999999999996</c:v>
                </c:pt>
                <c:pt idx="14">
                  <c:v>7.65</c:v>
                </c:pt>
                <c:pt idx="15">
                  <c:v>5.3199999999999994</c:v>
                </c:pt>
                <c:pt idx="16">
                  <c:v>16.5</c:v>
                </c:pt>
                <c:pt idx="17">
                  <c:v>11.28</c:v>
                </c:pt>
                <c:pt idx="18">
                  <c:v>19.41</c:v>
                </c:pt>
                <c:pt idx="19">
                  <c:v>35.840000000000003</c:v>
                </c:pt>
                <c:pt idx="20">
                  <c:v>12.29</c:v>
                </c:pt>
                <c:pt idx="21">
                  <c:v>4.01</c:v>
                </c:pt>
                <c:pt idx="22">
                  <c:v>8.77</c:v>
                </c:pt>
                <c:pt idx="23">
                  <c:v>6.21</c:v>
                </c:pt>
                <c:pt idx="24">
                  <c:v>16.690000000000001</c:v>
                </c:pt>
                <c:pt idx="25">
                  <c:v>32.159999999999997</c:v>
                </c:pt>
                <c:pt idx="26">
                  <c:v>4.78</c:v>
                </c:pt>
                <c:pt idx="27">
                  <c:v>4.9000000000000004</c:v>
                </c:pt>
                <c:pt idx="28">
                  <c:v>1.89</c:v>
                </c:pt>
                <c:pt idx="29">
                  <c:v>1.66</c:v>
                </c:pt>
                <c:pt idx="30">
                  <c:v>1.81</c:v>
                </c:pt>
                <c:pt idx="31">
                  <c:v>1.79</c:v>
                </c:pt>
                <c:pt idx="32">
                  <c:v>3.1</c:v>
                </c:pt>
                <c:pt idx="33">
                  <c:v>1.56</c:v>
                </c:pt>
                <c:pt idx="34">
                  <c:v>1.59</c:v>
                </c:pt>
                <c:pt idx="35">
                  <c:v>1.46</c:v>
                </c:pt>
                <c:pt idx="36">
                  <c:v>1.33</c:v>
                </c:pt>
                <c:pt idx="37">
                  <c:v>1.91</c:v>
                </c:pt>
                <c:pt idx="38">
                  <c:v>1.3299999999999998</c:v>
                </c:pt>
                <c:pt idx="39">
                  <c:v>1.51</c:v>
                </c:pt>
                <c:pt idx="40">
                  <c:v>6.7</c:v>
                </c:pt>
                <c:pt idx="41">
                  <c:v>17.399999999999999</c:v>
                </c:pt>
                <c:pt idx="42">
                  <c:v>6.58</c:v>
                </c:pt>
                <c:pt idx="43">
                  <c:v>2.19</c:v>
                </c:pt>
                <c:pt idx="44">
                  <c:v>1.58</c:v>
                </c:pt>
                <c:pt idx="45">
                  <c:v>1.5299999999999998</c:v>
                </c:pt>
                <c:pt idx="46">
                  <c:v>3.7</c:v>
                </c:pt>
                <c:pt idx="47">
                  <c:v>2.16</c:v>
                </c:pt>
                <c:pt idx="48">
                  <c:v>2.64</c:v>
                </c:pt>
                <c:pt idx="49">
                  <c:v>3.2</c:v>
                </c:pt>
                <c:pt idx="50">
                  <c:v>6.01</c:v>
                </c:pt>
                <c:pt idx="51">
                  <c:v>2.83</c:v>
                </c:pt>
                <c:pt idx="52">
                  <c:v>4.95</c:v>
                </c:pt>
                <c:pt idx="53">
                  <c:v>3.4299999999999997</c:v>
                </c:pt>
                <c:pt idx="54">
                  <c:v>3.2199999999999998</c:v>
                </c:pt>
                <c:pt idx="55">
                  <c:v>3.64</c:v>
                </c:pt>
                <c:pt idx="56">
                  <c:v>5.28</c:v>
                </c:pt>
                <c:pt idx="57">
                  <c:v>3.59</c:v>
                </c:pt>
                <c:pt idx="58">
                  <c:v>5.26</c:v>
                </c:pt>
                <c:pt idx="59">
                  <c:v>4.55</c:v>
                </c:pt>
                <c:pt idx="60">
                  <c:v>12.58</c:v>
                </c:pt>
                <c:pt idx="61">
                  <c:v>23.11</c:v>
                </c:pt>
                <c:pt idx="62">
                  <c:v>17.79</c:v>
                </c:pt>
                <c:pt idx="63">
                  <c:v>36.89</c:v>
                </c:pt>
                <c:pt idx="64">
                  <c:v>8.6199999999999992</c:v>
                </c:pt>
                <c:pt idx="65">
                  <c:v>5.93</c:v>
                </c:pt>
                <c:pt idx="66">
                  <c:v>6.63</c:v>
                </c:pt>
                <c:pt idx="67">
                  <c:v>12.65</c:v>
                </c:pt>
                <c:pt idx="68">
                  <c:v>29.25</c:v>
                </c:pt>
                <c:pt idx="69">
                  <c:v>8.85</c:v>
                </c:pt>
                <c:pt idx="70">
                  <c:v>4.6400000000000006</c:v>
                </c:pt>
                <c:pt idx="71">
                  <c:v>3.43</c:v>
                </c:pt>
                <c:pt idx="72">
                  <c:v>2</c:v>
                </c:pt>
                <c:pt idx="73">
                  <c:v>1.84</c:v>
                </c:pt>
                <c:pt idx="74">
                  <c:v>1.49</c:v>
                </c:pt>
                <c:pt idx="75">
                  <c:v>1.97</c:v>
                </c:pt>
                <c:pt idx="76">
                  <c:v>1.96</c:v>
                </c:pt>
                <c:pt idx="77">
                  <c:v>5.05</c:v>
                </c:pt>
                <c:pt idx="78">
                  <c:v>2.6</c:v>
                </c:pt>
                <c:pt idx="79">
                  <c:v>4.29</c:v>
                </c:pt>
                <c:pt idx="80">
                  <c:v>3.1799999999999997</c:v>
                </c:pt>
                <c:pt idx="81">
                  <c:v>2.41</c:v>
                </c:pt>
                <c:pt idx="82">
                  <c:v>2.82</c:v>
                </c:pt>
                <c:pt idx="83">
                  <c:v>3.08</c:v>
                </c:pt>
                <c:pt idx="84">
                  <c:v>3.37</c:v>
                </c:pt>
                <c:pt idx="85">
                  <c:v>3.13</c:v>
                </c:pt>
                <c:pt idx="86">
                  <c:v>7.13</c:v>
                </c:pt>
                <c:pt idx="87">
                  <c:v>3.58</c:v>
                </c:pt>
                <c:pt idx="88">
                  <c:v>12.03</c:v>
                </c:pt>
                <c:pt idx="89">
                  <c:v>18.489999999999998</c:v>
                </c:pt>
                <c:pt idx="90">
                  <c:v>6.35</c:v>
                </c:pt>
                <c:pt idx="91">
                  <c:v>15.95</c:v>
                </c:pt>
                <c:pt idx="92">
                  <c:v>32.340000000000003</c:v>
                </c:pt>
                <c:pt idx="93">
                  <c:v>9.27</c:v>
                </c:pt>
                <c:pt idx="94">
                  <c:v>5.07</c:v>
                </c:pt>
                <c:pt idx="95">
                  <c:v>5.78</c:v>
                </c:pt>
                <c:pt idx="96">
                  <c:v>5.43</c:v>
                </c:pt>
                <c:pt idx="97">
                  <c:v>10.28</c:v>
                </c:pt>
                <c:pt idx="98">
                  <c:v>25.77</c:v>
                </c:pt>
                <c:pt idx="99">
                  <c:v>7.3599999999999994</c:v>
                </c:pt>
                <c:pt idx="100">
                  <c:v>5.08</c:v>
                </c:pt>
                <c:pt idx="101">
                  <c:v>2.96</c:v>
                </c:pt>
                <c:pt idx="102">
                  <c:v>2.31</c:v>
                </c:pt>
                <c:pt idx="103">
                  <c:v>2.11</c:v>
                </c:pt>
                <c:pt idx="104">
                  <c:v>2.09</c:v>
                </c:pt>
                <c:pt idx="105">
                  <c:v>2.13</c:v>
                </c:pt>
                <c:pt idx="106">
                  <c:v>3.18</c:v>
                </c:pt>
                <c:pt idx="107">
                  <c:v>5.05</c:v>
                </c:pt>
                <c:pt idx="108">
                  <c:v>2.31</c:v>
                </c:pt>
                <c:pt idx="109">
                  <c:v>2.34</c:v>
                </c:pt>
                <c:pt idx="110">
                  <c:v>2.7700000000000005</c:v>
                </c:pt>
                <c:pt idx="111">
                  <c:v>2.12</c:v>
                </c:pt>
                <c:pt idx="112">
                  <c:v>2.4499999999999997</c:v>
                </c:pt>
                <c:pt idx="113">
                  <c:v>3.86</c:v>
                </c:pt>
                <c:pt idx="114">
                  <c:v>4.4400000000000004</c:v>
                </c:pt>
                <c:pt idx="115">
                  <c:v>4.0599999999999996</c:v>
                </c:pt>
                <c:pt idx="116">
                  <c:v>6.56</c:v>
                </c:pt>
                <c:pt idx="117">
                  <c:v>6.72</c:v>
                </c:pt>
                <c:pt idx="118">
                  <c:v>18.829999999999998</c:v>
                </c:pt>
                <c:pt idx="119">
                  <c:v>27.5</c:v>
                </c:pt>
                <c:pt idx="120">
                  <c:v>11.27</c:v>
                </c:pt>
                <c:pt idx="121">
                  <c:v>24.6</c:v>
                </c:pt>
                <c:pt idx="122">
                  <c:v>39.92</c:v>
                </c:pt>
                <c:pt idx="123">
                  <c:v>7.66</c:v>
                </c:pt>
                <c:pt idx="124">
                  <c:v>3.14</c:v>
                </c:pt>
                <c:pt idx="125">
                  <c:v>7.8800000000000008</c:v>
                </c:pt>
                <c:pt idx="126">
                  <c:v>3.08</c:v>
                </c:pt>
                <c:pt idx="127">
                  <c:v>16.05</c:v>
                </c:pt>
                <c:pt idx="128">
                  <c:v>35.46</c:v>
                </c:pt>
                <c:pt idx="129">
                  <c:v>4.45</c:v>
                </c:pt>
                <c:pt idx="130">
                  <c:v>3.79</c:v>
                </c:pt>
                <c:pt idx="131">
                  <c:v>1.49</c:v>
                </c:pt>
                <c:pt idx="132">
                  <c:v>1.78</c:v>
                </c:pt>
                <c:pt idx="133">
                  <c:v>2.76</c:v>
                </c:pt>
                <c:pt idx="134">
                  <c:v>6.07</c:v>
                </c:pt>
                <c:pt idx="135">
                  <c:v>7.29</c:v>
                </c:pt>
                <c:pt idx="136">
                  <c:v>3.09</c:v>
                </c:pt>
                <c:pt idx="137">
                  <c:v>6.55</c:v>
                </c:pt>
                <c:pt idx="138">
                  <c:v>3.8500000000000005</c:v>
                </c:pt>
                <c:pt idx="139">
                  <c:v>3.9799999999999995</c:v>
                </c:pt>
                <c:pt idx="140">
                  <c:v>7.98</c:v>
                </c:pt>
                <c:pt idx="141">
                  <c:v>8.3600000000000012</c:v>
                </c:pt>
                <c:pt idx="142">
                  <c:v>11.41</c:v>
                </c:pt>
                <c:pt idx="143">
                  <c:v>12.08</c:v>
                </c:pt>
                <c:pt idx="144">
                  <c:v>16.61</c:v>
                </c:pt>
                <c:pt idx="145">
                  <c:v>23.93</c:v>
                </c:pt>
                <c:pt idx="146">
                  <c:v>20.6</c:v>
                </c:pt>
                <c:pt idx="147">
                  <c:v>37.819999999999993</c:v>
                </c:pt>
                <c:pt idx="148">
                  <c:v>11.13</c:v>
                </c:pt>
                <c:pt idx="149">
                  <c:v>3.79</c:v>
                </c:pt>
                <c:pt idx="150">
                  <c:v>9.76</c:v>
                </c:pt>
                <c:pt idx="151">
                  <c:v>21.89</c:v>
                </c:pt>
                <c:pt idx="152">
                  <c:v>29.63</c:v>
                </c:pt>
                <c:pt idx="153">
                  <c:v>3.86</c:v>
                </c:pt>
                <c:pt idx="154">
                  <c:v>2.13</c:v>
                </c:pt>
                <c:pt idx="155">
                  <c:v>4.4000000000000004</c:v>
                </c:pt>
                <c:pt idx="156">
                  <c:v>4.6500000000000004</c:v>
                </c:pt>
                <c:pt idx="157">
                  <c:v>7.85</c:v>
                </c:pt>
                <c:pt idx="158">
                  <c:v>3.85</c:v>
                </c:pt>
                <c:pt idx="159">
                  <c:v>7.62</c:v>
                </c:pt>
                <c:pt idx="160">
                  <c:v>2.9400000000000004</c:v>
                </c:pt>
                <c:pt idx="161">
                  <c:v>2.98</c:v>
                </c:pt>
                <c:pt idx="162">
                  <c:v>3.63</c:v>
                </c:pt>
                <c:pt idx="163">
                  <c:v>6.31</c:v>
                </c:pt>
                <c:pt idx="164">
                  <c:v>3.5199999999999996</c:v>
                </c:pt>
                <c:pt idx="165">
                  <c:v>6.37</c:v>
                </c:pt>
                <c:pt idx="166">
                  <c:v>4.41</c:v>
                </c:pt>
                <c:pt idx="167">
                  <c:v>11.79</c:v>
                </c:pt>
                <c:pt idx="168">
                  <c:v>18.43</c:v>
                </c:pt>
                <c:pt idx="169">
                  <c:v>16.350000000000001</c:v>
                </c:pt>
                <c:pt idx="170">
                  <c:v>32.379999999999995</c:v>
                </c:pt>
                <c:pt idx="171">
                  <c:v>9.32</c:v>
                </c:pt>
                <c:pt idx="172">
                  <c:v>4.28</c:v>
                </c:pt>
                <c:pt idx="173">
                  <c:v>6.84</c:v>
                </c:pt>
                <c:pt idx="174">
                  <c:v>6.08</c:v>
                </c:pt>
                <c:pt idx="175">
                  <c:v>9.49</c:v>
                </c:pt>
                <c:pt idx="176">
                  <c:v>23.94</c:v>
                </c:pt>
                <c:pt idx="177">
                  <c:v>11.08</c:v>
                </c:pt>
                <c:pt idx="178">
                  <c:v>3.42</c:v>
                </c:pt>
                <c:pt idx="179">
                  <c:v>5.41</c:v>
                </c:pt>
                <c:pt idx="180">
                  <c:v>1.97</c:v>
                </c:pt>
                <c:pt idx="181">
                  <c:v>2.12</c:v>
                </c:pt>
                <c:pt idx="182">
                  <c:v>3.74</c:v>
                </c:pt>
                <c:pt idx="183">
                  <c:v>4.5</c:v>
                </c:pt>
                <c:pt idx="184">
                  <c:v>8.14</c:v>
                </c:pt>
                <c:pt idx="185">
                  <c:v>8.0500000000000007</c:v>
                </c:pt>
                <c:pt idx="186">
                  <c:v>4.24</c:v>
                </c:pt>
                <c:pt idx="187">
                  <c:v>7.58</c:v>
                </c:pt>
                <c:pt idx="188">
                  <c:v>5.82</c:v>
                </c:pt>
                <c:pt idx="189">
                  <c:v>4.07</c:v>
                </c:pt>
                <c:pt idx="190">
                  <c:v>4.99</c:v>
                </c:pt>
                <c:pt idx="191">
                  <c:v>5.19</c:v>
                </c:pt>
                <c:pt idx="192">
                  <c:v>7.24</c:v>
                </c:pt>
                <c:pt idx="193">
                  <c:v>5.2399999999999993</c:v>
                </c:pt>
                <c:pt idx="194">
                  <c:v>8.1900000000000013</c:v>
                </c:pt>
                <c:pt idx="195">
                  <c:v>5.68</c:v>
                </c:pt>
                <c:pt idx="196">
                  <c:v>12.03</c:v>
                </c:pt>
                <c:pt idx="197">
                  <c:v>18.41</c:v>
                </c:pt>
                <c:pt idx="198">
                  <c:v>8.1300000000000008</c:v>
                </c:pt>
                <c:pt idx="199">
                  <c:v>13.24</c:v>
                </c:pt>
                <c:pt idx="200">
                  <c:v>34.180000000000007</c:v>
                </c:pt>
                <c:pt idx="201">
                  <c:v>7.84</c:v>
                </c:pt>
                <c:pt idx="202">
                  <c:v>4.5</c:v>
                </c:pt>
                <c:pt idx="203">
                  <c:v>6.82</c:v>
                </c:pt>
                <c:pt idx="204">
                  <c:v>5.89</c:v>
                </c:pt>
                <c:pt idx="205">
                  <c:v>12.07</c:v>
                </c:pt>
                <c:pt idx="206">
                  <c:v>6.01</c:v>
                </c:pt>
                <c:pt idx="207">
                  <c:v>16.64</c:v>
                </c:pt>
                <c:pt idx="208">
                  <c:v>8.66</c:v>
                </c:pt>
                <c:pt idx="209">
                  <c:v>2.92</c:v>
                </c:pt>
                <c:pt idx="210">
                  <c:v>2.38</c:v>
                </c:pt>
                <c:pt idx="211">
                  <c:v>2.2000000000000002</c:v>
                </c:pt>
                <c:pt idx="212">
                  <c:v>2.15</c:v>
                </c:pt>
                <c:pt idx="213">
                  <c:v>2.2999999999999998</c:v>
                </c:pt>
                <c:pt idx="214">
                  <c:v>2.2999999999999998</c:v>
                </c:pt>
                <c:pt idx="215">
                  <c:v>3.09</c:v>
                </c:pt>
                <c:pt idx="216">
                  <c:v>2.0699999999999998</c:v>
                </c:pt>
                <c:pt idx="217">
                  <c:v>1.98</c:v>
                </c:pt>
                <c:pt idx="218">
                  <c:v>2.39</c:v>
                </c:pt>
                <c:pt idx="219">
                  <c:v>2.0499999999999998</c:v>
                </c:pt>
                <c:pt idx="220">
                  <c:v>2.15</c:v>
                </c:pt>
                <c:pt idx="221">
                  <c:v>2.66</c:v>
                </c:pt>
                <c:pt idx="222">
                  <c:v>2.17</c:v>
                </c:pt>
                <c:pt idx="223">
                  <c:v>2.25</c:v>
                </c:pt>
                <c:pt idx="224">
                  <c:v>2.2400000000000002</c:v>
                </c:pt>
                <c:pt idx="225">
                  <c:v>6.89</c:v>
                </c:pt>
                <c:pt idx="226">
                  <c:v>16.18</c:v>
                </c:pt>
                <c:pt idx="227">
                  <c:v>2.36</c:v>
                </c:pt>
                <c:pt idx="228">
                  <c:v>12.45</c:v>
                </c:pt>
                <c:pt idx="229">
                  <c:v>31.41</c:v>
                </c:pt>
                <c:pt idx="230">
                  <c:v>2.68</c:v>
                </c:pt>
                <c:pt idx="231">
                  <c:v>2.33</c:v>
                </c:pt>
                <c:pt idx="232">
                  <c:v>2.34</c:v>
                </c:pt>
                <c:pt idx="233">
                  <c:v>8.48</c:v>
                </c:pt>
                <c:pt idx="234">
                  <c:v>2.8200000000000003</c:v>
                </c:pt>
                <c:pt idx="235">
                  <c:v>2.69</c:v>
                </c:pt>
                <c:pt idx="236">
                  <c:v>3.22</c:v>
                </c:pt>
                <c:pt idx="237">
                  <c:v>5.49</c:v>
                </c:pt>
                <c:pt idx="238">
                  <c:v>6.08</c:v>
                </c:pt>
                <c:pt idx="239">
                  <c:v>9.9499999999999993</c:v>
                </c:pt>
                <c:pt idx="240">
                  <c:v>10.25</c:v>
                </c:pt>
                <c:pt idx="241">
                  <c:v>5.13</c:v>
                </c:pt>
                <c:pt idx="242">
                  <c:v>7.96</c:v>
                </c:pt>
                <c:pt idx="243">
                  <c:v>6.1000000000000005</c:v>
                </c:pt>
                <c:pt idx="244">
                  <c:v>5.96</c:v>
                </c:pt>
                <c:pt idx="245">
                  <c:v>8.9499999999999993</c:v>
                </c:pt>
                <c:pt idx="246">
                  <c:v>7.56</c:v>
                </c:pt>
                <c:pt idx="247">
                  <c:v>10.579999999999998</c:v>
                </c:pt>
                <c:pt idx="248">
                  <c:v>9.48</c:v>
                </c:pt>
                <c:pt idx="249">
                  <c:v>23.91</c:v>
                </c:pt>
                <c:pt idx="250">
                  <c:v>20.23</c:v>
                </c:pt>
                <c:pt idx="251">
                  <c:v>33.200000000000003</c:v>
                </c:pt>
                <c:pt idx="252">
                  <c:v>12.49</c:v>
                </c:pt>
                <c:pt idx="253">
                  <c:v>10.039999999999999</c:v>
                </c:pt>
                <c:pt idx="254">
                  <c:v>7.52</c:v>
                </c:pt>
                <c:pt idx="255">
                  <c:v>16.28</c:v>
                </c:pt>
                <c:pt idx="256">
                  <c:v>3.54</c:v>
                </c:pt>
                <c:pt idx="257">
                  <c:v>1.91</c:v>
                </c:pt>
                <c:pt idx="258">
                  <c:v>1.69</c:v>
                </c:pt>
                <c:pt idx="259">
                  <c:v>1.61</c:v>
                </c:pt>
                <c:pt idx="260">
                  <c:v>1.78</c:v>
                </c:pt>
                <c:pt idx="261">
                  <c:v>1.84</c:v>
                </c:pt>
                <c:pt idx="262">
                  <c:v>3.95</c:v>
                </c:pt>
                <c:pt idx="263">
                  <c:v>2.4900000000000002</c:v>
                </c:pt>
                <c:pt idx="264">
                  <c:v>2.4700000000000002</c:v>
                </c:pt>
                <c:pt idx="265">
                  <c:v>3.41</c:v>
                </c:pt>
                <c:pt idx="266">
                  <c:v>2.46</c:v>
                </c:pt>
                <c:pt idx="267">
                  <c:v>3.07</c:v>
                </c:pt>
                <c:pt idx="268">
                  <c:v>3.2</c:v>
                </c:pt>
                <c:pt idx="269">
                  <c:v>3.81</c:v>
                </c:pt>
                <c:pt idx="270">
                  <c:v>3.2299999999999995</c:v>
                </c:pt>
                <c:pt idx="271">
                  <c:v>3.88</c:v>
                </c:pt>
                <c:pt idx="272">
                  <c:v>10.81</c:v>
                </c:pt>
                <c:pt idx="273">
                  <c:v>18.760000000000002</c:v>
                </c:pt>
                <c:pt idx="274">
                  <c:v>5.67</c:v>
                </c:pt>
                <c:pt idx="275">
                  <c:v>15.66</c:v>
                </c:pt>
                <c:pt idx="276">
                  <c:v>34.269999999999996</c:v>
                </c:pt>
                <c:pt idx="277">
                  <c:v>6.38</c:v>
                </c:pt>
                <c:pt idx="278">
                  <c:v>3.16</c:v>
                </c:pt>
                <c:pt idx="279">
                  <c:v>4.9800000000000004</c:v>
                </c:pt>
                <c:pt idx="280">
                  <c:v>3.6100000000000003</c:v>
                </c:pt>
                <c:pt idx="281">
                  <c:v>9.67</c:v>
                </c:pt>
                <c:pt idx="282">
                  <c:v>25.12</c:v>
                </c:pt>
                <c:pt idx="283">
                  <c:v>5.3800000000000008</c:v>
                </c:pt>
                <c:pt idx="284">
                  <c:v>4.2300000000000004</c:v>
                </c:pt>
                <c:pt idx="285">
                  <c:v>2.06</c:v>
                </c:pt>
                <c:pt idx="286">
                  <c:v>2.5099999999999998</c:v>
                </c:pt>
                <c:pt idx="287">
                  <c:v>3.14</c:v>
                </c:pt>
                <c:pt idx="288">
                  <c:v>3.78</c:v>
                </c:pt>
                <c:pt idx="289">
                  <c:v>7.29</c:v>
                </c:pt>
                <c:pt idx="290">
                  <c:v>3.21</c:v>
                </c:pt>
                <c:pt idx="291">
                  <c:v>5.94</c:v>
                </c:pt>
                <c:pt idx="292">
                  <c:v>4.41</c:v>
                </c:pt>
                <c:pt idx="293">
                  <c:v>4.24</c:v>
                </c:pt>
                <c:pt idx="294">
                  <c:v>5.25</c:v>
                </c:pt>
                <c:pt idx="295">
                  <c:v>4.7699999999999996</c:v>
                </c:pt>
                <c:pt idx="296">
                  <c:v>6.85</c:v>
                </c:pt>
                <c:pt idx="297">
                  <c:v>5.8999999999999995</c:v>
                </c:pt>
                <c:pt idx="298">
                  <c:v>14.15</c:v>
                </c:pt>
                <c:pt idx="299">
                  <c:v>22.44</c:v>
                </c:pt>
                <c:pt idx="300">
                  <c:v>16.03</c:v>
                </c:pt>
                <c:pt idx="301">
                  <c:v>35.56</c:v>
                </c:pt>
                <c:pt idx="302">
                  <c:v>11.04</c:v>
                </c:pt>
                <c:pt idx="303">
                  <c:v>3.6500000000000004</c:v>
                </c:pt>
                <c:pt idx="304">
                  <c:v>8.15</c:v>
                </c:pt>
                <c:pt idx="305">
                  <c:v>5.24</c:v>
                </c:pt>
                <c:pt idx="306">
                  <c:v>13.88</c:v>
                </c:pt>
                <c:pt idx="307">
                  <c:v>33.94</c:v>
                </c:pt>
                <c:pt idx="308">
                  <c:v>3.49</c:v>
                </c:pt>
                <c:pt idx="309">
                  <c:v>2.44</c:v>
                </c:pt>
                <c:pt idx="310">
                  <c:v>2.54</c:v>
                </c:pt>
                <c:pt idx="311">
                  <c:v>2.58</c:v>
                </c:pt>
                <c:pt idx="312">
                  <c:v>2.96</c:v>
                </c:pt>
                <c:pt idx="313">
                  <c:v>2.8</c:v>
                </c:pt>
                <c:pt idx="314">
                  <c:v>2.77</c:v>
                </c:pt>
                <c:pt idx="315">
                  <c:v>3.08</c:v>
                </c:pt>
                <c:pt idx="316">
                  <c:v>2.78</c:v>
                </c:pt>
                <c:pt idx="317">
                  <c:v>2.78</c:v>
                </c:pt>
                <c:pt idx="318">
                  <c:v>3.27</c:v>
                </c:pt>
                <c:pt idx="319">
                  <c:v>2.8</c:v>
                </c:pt>
                <c:pt idx="320">
                  <c:v>2.79</c:v>
                </c:pt>
                <c:pt idx="321">
                  <c:v>3</c:v>
                </c:pt>
                <c:pt idx="322">
                  <c:v>6.94</c:v>
                </c:pt>
                <c:pt idx="323">
                  <c:v>15.95</c:v>
                </c:pt>
                <c:pt idx="324">
                  <c:v>10.62</c:v>
                </c:pt>
                <c:pt idx="325">
                  <c:v>31.220000000000002</c:v>
                </c:pt>
                <c:pt idx="326">
                  <c:v>2.59</c:v>
                </c:pt>
                <c:pt idx="327">
                  <c:v>2.94</c:v>
                </c:pt>
                <c:pt idx="328">
                  <c:v>3.07</c:v>
                </c:pt>
                <c:pt idx="329">
                  <c:v>3.6799999999999997</c:v>
                </c:pt>
                <c:pt idx="330">
                  <c:v>3.9099999999999997</c:v>
                </c:pt>
                <c:pt idx="331">
                  <c:v>3.8</c:v>
                </c:pt>
                <c:pt idx="332">
                  <c:v>1.89</c:v>
                </c:pt>
                <c:pt idx="333">
                  <c:v>1.88</c:v>
                </c:pt>
                <c:pt idx="334">
                  <c:v>2.94</c:v>
                </c:pt>
                <c:pt idx="335">
                  <c:v>3.24</c:v>
                </c:pt>
                <c:pt idx="336">
                  <c:v>6</c:v>
                </c:pt>
                <c:pt idx="337">
                  <c:v>6.21</c:v>
                </c:pt>
                <c:pt idx="338">
                  <c:v>3.07</c:v>
                </c:pt>
                <c:pt idx="339">
                  <c:v>4.82</c:v>
                </c:pt>
                <c:pt idx="340">
                  <c:v>2.6900000000000004</c:v>
                </c:pt>
                <c:pt idx="341">
                  <c:v>2.38</c:v>
                </c:pt>
                <c:pt idx="342">
                  <c:v>2.89</c:v>
                </c:pt>
                <c:pt idx="343">
                  <c:v>5.07</c:v>
                </c:pt>
                <c:pt idx="344">
                  <c:v>2.67</c:v>
                </c:pt>
                <c:pt idx="345">
                  <c:v>5.6</c:v>
                </c:pt>
                <c:pt idx="346">
                  <c:v>3.2399999999999993</c:v>
                </c:pt>
                <c:pt idx="347">
                  <c:v>9.36</c:v>
                </c:pt>
                <c:pt idx="348">
                  <c:v>16.97</c:v>
                </c:pt>
                <c:pt idx="349">
                  <c:v>5.27</c:v>
                </c:pt>
                <c:pt idx="350">
                  <c:v>12.48</c:v>
                </c:pt>
                <c:pt idx="351">
                  <c:v>31.16</c:v>
                </c:pt>
                <c:pt idx="352">
                  <c:v>7.2</c:v>
                </c:pt>
                <c:pt idx="353">
                  <c:v>4.03</c:v>
                </c:pt>
                <c:pt idx="354">
                  <c:v>4.95</c:v>
                </c:pt>
                <c:pt idx="355">
                  <c:v>4.58</c:v>
                </c:pt>
                <c:pt idx="356">
                  <c:v>9.4499999999999993</c:v>
                </c:pt>
                <c:pt idx="357">
                  <c:v>22.26</c:v>
                </c:pt>
                <c:pt idx="358">
                  <c:v>12.15</c:v>
                </c:pt>
                <c:pt idx="359">
                  <c:v>4.12</c:v>
                </c:pt>
                <c:pt idx="360">
                  <c:v>4.09</c:v>
                </c:pt>
                <c:pt idx="361">
                  <c:v>2.12</c:v>
                </c:pt>
                <c:pt idx="362">
                  <c:v>1.91</c:v>
                </c:pt>
                <c:pt idx="363">
                  <c:v>1.82</c:v>
                </c:pt>
                <c:pt idx="364">
                  <c:v>1.96</c:v>
                </c:pt>
                <c:pt idx="365">
                  <c:v>2.0299999999999998</c:v>
                </c:pt>
                <c:pt idx="366">
                  <c:v>3.23</c:v>
                </c:pt>
                <c:pt idx="367">
                  <c:v>3.08</c:v>
                </c:pt>
                <c:pt idx="368">
                  <c:v>2.85</c:v>
                </c:pt>
                <c:pt idx="369">
                  <c:v>3.91</c:v>
                </c:pt>
                <c:pt idx="370">
                  <c:v>3.12</c:v>
                </c:pt>
                <c:pt idx="371">
                  <c:v>3.54</c:v>
                </c:pt>
                <c:pt idx="372">
                  <c:v>3.64</c:v>
                </c:pt>
                <c:pt idx="373">
                  <c:v>4.16</c:v>
                </c:pt>
                <c:pt idx="374">
                  <c:v>3.63</c:v>
                </c:pt>
                <c:pt idx="375">
                  <c:v>3.61</c:v>
                </c:pt>
                <c:pt idx="376">
                  <c:v>3.7199999999999998</c:v>
                </c:pt>
                <c:pt idx="377">
                  <c:v>7.1</c:v>
                </c:pt>
                <c:pt idx="378">
                  <c:v>16.899999999999999</c:v>
                </c:pt>
                <c:pt idx="379">
                  <c:v>4.1100000000000003</c:v>
                </c:pt>
                <c:pt idx="380">
                  <c:v>10.43</c:v>
                </c:pt>
                <c:pt idx="381">
                  <c:v>30.84</c:v>
                </c:pt>
                <c:pt idx="382">
                  <c:v>4.74</c:v>
                </c:pt>
                <c:pt idx="383">
                  <c:v>2.7</c:v>
                </c:pt>
                <c:pt idx="384">
                  <c:v>3.96</c:v>
                </c:pt>
                <c:pt idx="385">
                  <c:v>2.89</c:v>
                </c:pt>
                <c:pt idx="386">
                  <c:v>4.3899999999999997</c:v>
                </c:pt>
                <c:pt idx="387">
                  <c:v>4.3600000000000003</c:v>
                </c:pt>
                <c:pt idx="388">
                  <c:v>3.55</c:v>
                </c:pt>
                <c:pt idx="389">
                  <c:v>2.4900000000000002</c:v>
                </c:pt>
                <c:pt idx="390">
                  <c:v>2.5</c:v>
                </c:pt>
                <c:pt idx="391">
                  <c:v>3.77</c:v>
                </c:pt>
                <c:pt idx="392">
                  <c:v>2.84</c:v>
                </c:pt>
                <c:pt idx="393">
                  <c:v>3.11</c:v>
                </c:pt>
                <c:pt idx="394">
                  <c:v>4.4000000000000004</c:v>
                </c:pt>
                <c:pt idx="395">
                  <c:v>2.54</c:v>
                </c:pt>
                <c:pt idx="396">
                  <c:v>2.89</c:v>
                </c:pt>
                <c:pt idx="397">
                  <c:v>2.33</c:v>
                </c:pt>
                <c:pt idx="398">
                  <c:v>2.1</c:v>
                </c:pt>
                <c:pt idx="399">
                  <c:v>2.0699999999999998</c:v>
                </c:pt>
                <c:pt idx="400">
                  <c:v>2.25</c:v>
                </c:pt>
                <c:pt idx="401">
                  <c:v>2.88</c:v>
                </c:pt>
                <c:pt idx="402">
                  <c:v>2.2400000000000002</c:v>
                </c:pt>
                <c:pt idx="403">
                  <c:v>3.48</c:v>
                </c:pt>
                <c:pt idx="404">
                  <c:v>2.6100000000000003</c:v>
                </c:pt>
                <c:pt idx="405">
                  <c:v>10.7</c:v>
                </c:pt>
                <c:pt idx="406">
                  <c:v>19.760000000000002</c:v>
                </c:pt>
                <c:pt idx="407">
                  <c:v>4.18</c:v>
                </c:pt>
                <c:pt idx="408">
                  <c:v>14.76</c:v>
                </c:pt>
                <c:pt idx="409">
                  <c:v>32.950000000000003</c:v>
                </c:pt>
                <c:pt idx="410">
                  <c:v>4.1399999999999997</c:v>
                </c:pt>
                <c:pt idx="411">
                  <c:v>3.26</c:v>
                </c:pt>
                <c:pt idx="412">
                  <c:v>3.34</c:v>
                </c:pt>
                <c:pt idx="413">
                  <c:v>3.32</c:v>
                </c:pt>
                <c:pt idx="414">
                  <c:v>26.22</c:v>
                </c:pt>
                <c:pt idx="415">
                  <c:v>5.03</c:v>
                </c:pt>
                <c:pt idx="416">
                  <c:v>2.4499999999999997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606-431A-96E4-D554F1D0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860511"/>
        <c:axId val="1022865087"/>
      </c:scatterChart>
      <c:valAx>
        <c:axId val="1022860511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Modeled</a:t>
                </a:r>
                <a:r>
                  <a:rPr lang="en-US" sz="11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water surface elevation (NAVD88, ft)</a:t>
                </a:r>
                <a:endParaRPr lang="en-US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2865087"/>
        <c:crosses val="autoZero"/>
        <c:crossBetween val="midCat"/>
        <c:majorUnit val="5"/>
      </c:valAx>
      <c:valAx>
        <c:axId val="102286508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Observed water surface elevation (NAVD88, ft)</a:t>
                </a:r>
                <a:endParaRPr lang="en-US" sz="11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8312423223311921E-2"/>
              <c:y val="0.147695155655211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28605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ayout>
        <c:manualLayout>
          <c:xMode val="edge"/>
          <c:yMode val="edge"/>
          <c:x val="5.3632545931758528E-2"/>
          <c:y val="0.79525284722341871"/>
          <c:w val="0.94348960226125578"/>
          <c:h val="0.170299281517600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TCs numerical model uncertainty for High-water marks</a:t>
            </a:r>
          </a:p>
        </c:rich>
      </c:tx>
      <c:layout>
        <c:manualLayout>
          <c:xMode val="edge"/>
          <c:yMode val="edge"/>
          <c:x val="0.16391666666666665"/>
          <c:y val="3.56408422032473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72681539807524"/>
          <c:y val="9.9218621487347822E-2"/>
          <c:w val="0.81943985126859142"/>
          <c:h val="0.64108678879681613"/>
        </c:manualLayout>
      </c:layout>
      <c:scatterChart>
        <c:scatterStyle val="lineMarker"/>
        <c:varyColors val="0"/>
        <c:ser>
          <c:idx val="0"/>
          <c:order val="0"/>
          <c:tx>
            <c:v>Gustav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HWMsUnc!$C$2:$C$20</c:f>
              <c:numCache>
                <c:formatCode>0.00</c:formatCode>
                <c:ptCount val="19"/>
                <c:pt idx="0">
                  <c:v>3.7233855724334699</c:v>
                </c:pt>
                <c:pt idx="1">
                  <c:v>5.72916555404663</c:v>
                </c:pt>
                <c:pt idx="2">
                  <c:v>5.0082039833068901</c:v>
                </c:pt>
                <c:pt idx="3">
                  <c:v>4.4980382919311497</c:v>
                </c:pt>
                <c:pt idx="4">
                  <c:v>3.95935106277466</c:v>
                </c:pt>
                <c:pt idx="5">
                  <c:v>5.4652352333068901</c:v>
                </c:pt>
                <c:pt idx="6">
                  <c:v>4.2184967994689897</c:v>
                </c:pt>
                <c:pt idx="7">
                  <c:v>3.7128424644470202</c:v>
                </c:pt>
                <c:pt idx="8">
                  <c:v>3.67661809921265</c:v>
                </c:pt>
                <c:pt idx="9">
                  <c:v>3.51528763771057</c:v>
                </c:pt>
                <c:pt idx="10">
                  <c:v>3.7748730182647701</c:v>
                </c:pt>
                <c:pt idx="11">
                  <c:v>4.0807862281799299</c:v>
                </c:pt>
                <c:pt idx="12">
                  <c:v>3.3628726005554199</c:v>
                </c:pt>
                <c:pt idx="13">
                  <c:v>6.0650968551635698</c:v>
                </c:pt>
                <c:pt idx="14">
                  <c:v>4.0460782051086399</c:v>
                </c:pt>
                <c:pt idx="15">
                  <c:v>2.98954105377197</c:v>
                </c:pt>
                <c:pt idx="16">
                  <c:v>3.56606197357178</c:v>
                </c:pt>
                <c:pt idx="17">
                  <c:v>3.2850718498229998</c:v>
                </c:pt>
                <c:pt idx="18">
                  <c:v>6.0540742874145499</c:v>
                </c:pt>
              </c:numCache>
            </c:numRef>
          </c:xVal>
          <c:yVal>
            <c:numRef>
              <c:f>HWMsUnc!$D$2:$D$20</c:f>
              <c:numCache>
                <c:formatCode>0.00</c:formatCode>
                <c:ptCount val="19"/>
                <c:pt idx="0">
                  <c:v>3.6745406824146984</c:v>
                </c:pt>
                <c:pt idx="1">
                  <c:v>5.7414698162729652</c:v>
                </c:pt>
                <c:pt idx="2">
                  <c:v>5.6430446194225716</c:v>
                </c:pt>
                <c:pt idx="3">
                  <c:v>4.4947506561679793</c:v>
                </c:pt>
                <c:pt idx="4">
                  <c:v>3.4448818897637796</c:v>
                </c:pt>
                <c:pt idx="5">
                  <c:v>5.3477690288713902</c:v>
                </c:pt>
                <c:pt idx="6">
                  <c:v>4.363517060367454</c:v>
                </c:pt>
                <c:pt idx="7">
                  <c:v>2.5918635170603674</c:v>
                </c:pt>
                <c:pt idx="8">
                  <c:v>3.8385826771653537</c:v>
                </c:pt>
                <c:pt idx="9">
                  <c:v>2.1325459317585302</c:v>
                </c:pt>
                <c:pt idx="10">
                  <c:v>2.7887139107611545</c:v>
                </c:pt>
                <c:pt idx="11">
                  <c:v>3.969816272965879</c:v>
                </c:pt>
                <c:pt idx="12">
                  <c:v>2.8543307086614171</c:v>
                </c:pt>
                <c:pt idx="13">
                  <c:v>5.3805774278215219</c:v>
                </c:pt>
                <c:pt idx="14">
                  <c:v>4.0026246719160099</c:v>
                </c:pt>
                <c:pt idx="15">
                  <c:v>2.001312335958005</c:v>
                </c:pt>
                <c:pt idx="16">
                  <c:v>2.9527559055118111</c:v>
                </c:pt>
                <c:pt idx="17">
                  <c:v>3.6417322834645671</c:v>
                </c:pt>
                <c:pt idx="18">
                  <c:v>5.577427821522309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9E-400F-9EA3-A88BD965F2E0}"/>
            </c:ext>
          </c:extLst>
        </c:ser>
        <c:ser>
          <c:idx val="4"/>
          <c:order val="1"/>
          <c:tx>
            <c:v>Isaac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HWMsUnc!$C$21:$C$46</c:f>
              <c:numCache>
                <c:formatCode>0.00</c:formatCode>
                <c:ptCount val="26"/>
                <c:pt idx="0">
                  <c:v>9.6872138977050799</c:v>
                </c:pt>
                <c:pt idx="1">
                  <c:v>9.6946735382080096</c:v>
                </c:pt>
                <c:pt idx="2">
                  <c:v>6.6786556243896502</c:v>
                </c:pt>
                <c:pt idx="3">
                  <c:v>6.67747259140015</c:v>
                </c:pt>
                <c:pt idx="4">
                  <c:v>5.9534277915954599</c:v>
                </c:pt>
                <c:pt idx="5">
                  <c:v>9.7008914947509801</c:v>
                </c:pt>
                <c:pt idx="6">
                  <c:v>6.2986431121826199</c:v>
                </c:pt>
                <c:pt idx="7">
                  <c:v>6.79776906967163</c:v>
                </c:pt>
                <c:pt idx="8">
                  <c:v>7.3585228919982901</c:v>
                </c:pt>
                <c:pt idx="9">
                  <c:v>7.6473846435546902</c:v>
                </c:pt>
                <c:pt idx="10">
                  <c:v>7.3640232086181596</c:v>
                </c:pt>
                <c:pt idx="11">
                  <c:v>7.8464527130126998</c:v>
                </c:pt>
                <c:pt idx="12">
                  <c:v>9.5174188613891602</c:v>
                </c:pt>
                <c:pt idx="13">
                  <c:v>7.9346795082092303</c:v>
                </c:pt>
                <c:pt idx="14">
                  <c:v>8.9559440612793004</c:v>
                </c:pt>
                <c:pt idx="15">
                  <c:v>9.66754150390625</c:v>
                </c:pt>
                <c:pt idx="16">
                  <c:v>9.6456165313720703</c:v>
                </c:pt>
                <c:pt idx="17">
                  <c:v>8.9654216766357404</c:v>
                </c:pt>
                <c:pt idx="18">
                  <c:v>8.0004119873046893</c:v>
                </c:pt>
                <c:pt idx="19">
                  <c:v>8.0004119873046893</c:v>
                </c:pt>
                <c:pt idx="20">
                  <c:v>8.3579778671264702</c:v>
                </c:pt>
                <c:pt idx="21">
                  <c:v>8.1165866851806605</c:v>
                </c:pt>
                <c:pt idx="22">
                  <c:v>10.573305130004901</c:v>
                </c:pt>
                <c:pt idx="23">
                  <c:v>10.674643516540501</c:v>
                </c:pt>
                <c:pt idx="24">
                  <c:v>10.711098670959499</c:v>
                </c:pt>
                <c:pt idx="25">
                  <c:v>10.729395866394</c:v>
                </c:pt>
              </c:numCache>
            </c:numRef>
          </c:xVal>
          <c:yVal>
            <c:numRef>
              <c:f>HWMsUnc!$D$21:$D$46</c:f>
              <c:numCache>
                <c:formatCode>General</c:formatCode>
                <c:ptCount val="26"/>
                <c:pt idx="0">
                  <c:v>10.14</c:v>
                </c:pt>
                <c:pt idx="1">
                  <c:v>8.39</c:v>
                </c:pt>
                <c:pt idx="2">
                  <c:v>6.45</c:v>
                </c:pt>
                <c:pt idx="3">
                  <c:v>6.53</c:v>
                </c:pt>
                <c:pt idx="4">
                  <c:v>6.95</c:v>
                </c:pt>
                <c:pt idx="5">
                  <c:v>7.71</c:v>
                </c:pt>
                <c:pt idx="6">
                  <c:v>5.64</c:v>
                </c:pt>
                <c:pt idx="7">
                  <c:v>5.41</c:v>
                </c:pt>
                <c:pt idx="8">
                  <c:v>4.8899999999999997</c:v>
                </c:pt>
                <c:pt idx="9">
                  <c:v>5.6</c:v>
                </c:pt>
                <c:pt idx="10">
                  <c:v>3.63</c:v>
                </c:pt>
                <c:pt idx="11">
                  <c:v>5.56</c:v>
                </c:pt>
                <c:pt idx="12">
                  <c:v>7.41</c:v>
                </c:pt>
                <c:pt idx="13">
                  <c:v>5.45</c:v>
                </c:pt>
                <c:pt idx="14">
                  <c:v>6.96</c:v>
                </c:pt>
                <c:pt idx="15">
                  <c:v>5.75</c:v>
                </c:pt>
                <c:pt idx="16">
                  <c:v>7.18</c:v>
                </c:pt>
                <c:pt idx="17">
                  <c:v>6</c:v>
                </c:pt>
                <c:pt idx="18">
                  <c:v>5.08</c:v>
                </c:pt>
                <c:pt idx="19">
                  <c:v>5.52</c:v>
                </c:pt>
                <c:pt idx="20">
                  <c:v>6.44</c:v>
                </c:pt>
                <c:pt idx="21">
                  <c:v>6.18</c:v>
                </c:pt>
                <c:pt idx="22">
                  <c:v>6.36</c:v>
                </c:pt>
                <c:pt idx="23">
                  <c:v>8.66</c:v>
                </c:pt>
                <c:pt idx="24">
                  <c:v>8.77</c:v>
                </c:pt>
                <c:pt idx="25">
                  <c:v>8.8699999999999992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60-4F9C-A913-F1330784EC53}"/>
            </c:ext>
          </c:extLst>
        </c:ser>
        <c:ser>
          <c:idx val="5"/>
          <c:order val="2"/>
          <c:tx>
            <c:v>Katrina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HWMsUnc!$C$47:$C$78</c:f>
              <c:numCache>
                <c:formatCode>0.00</c:formatCode>
                <c:ptCount val="32"/>
                <c:pt idx="0">
                  <c:v>5.9937381744384801</c:v>
                </c:pt>
                <c:pt idx="1">
                  <c:v>7.00988864898682</c:v>
                </c:pt>
                <c:pt idx="2">
                  <c:v>4.24137687683106</c:v>
                </c:pt>
                <c:pt idx="3">
                  <c:v>7.00988864898682</c:v>
                </c:pt>
                <c:pt idx="4">
                  <c:v>6.9594659805297896</c:v>
                </c:pt>
                <c:pt idx="5">
                  <c:v>7.2202048301696804</c:v>
                </c:pt>
                <c:pt idx="6">
                  <c:v>3.3189945220947301</c:v>
                </c:pt>
                <c:pt idx="7">
                  <c:v>3.30728340148926</c:v>
                </c:pt>
                <c:pt idx="8">
                  <c:v>3.9617507457733199</c:v>
                </c:pt>
                <c:pt idx="9">
                  <c:v>7.0028038024902299</c:v>
                </c:pt>
                <c:pt idx="10">
                  <c:v>7.0861783027648899</c:v>
                </c:pt>
                <c:pt idx="11">
                  <c:v>7.1792311668395996</c:v>
                </c:pt>
                <c:pt idx="12">
                  <c:v>7.0784811973571804</c:v>
                </c:pt>
                <c:pt idx="13">
                  <c:v>3.3189945220947301</c:v>
                </c:pt>
                <c:pt idx="14">
                  <c:v>5.0759534835815403</c:v>
                </c:pt>
                <c:pt idx="15">
                  <c:v>6.6534771919250497</c:v>
                </c:pt>
                <c:pt idx="16">
                  <c:v>6.5323867797851598</c:v>
                </c:pt>
                <c:pt idx="17">
                  <c:v>7.2512969970703098</c:v>
                </c:pt>
                <c:pt idx="18">
                  <c:v>7.0861783027648899</c:v>
                </c:pt>
                <c:pt idx="19">
                  <c:v>7.4058141708373997</c:v>
                </c:pt>
                <c:pt idx="20">
                  <c:v>6.9931893348693901</c:v>
                </c:pt>
                <c:pt idx="21">
                  <c:v>7.18878126144409</c:v>
                </c:pt>
                <c:pt idx="22">
                  <c:v>7.2060003280639702</c:v>
                </c:pt>
                <c:pt idx="23">
                  <c:v>7.1792311668395996</c:v>
                </c:pt>
                <c:pt idx="24">
                  <c:v>7.1906485557556197</c:v>
                </c:pt>
                <c:pt idx="25">
                  <c:v>7.1651611328125</c:v>
                </c:pt>
                <c:pt idx="26">
                  <c:v>7.18349266052246</c:v>
                </c:pt>
                <c:pt idx="27">
                  <c:v>7.2202048301696804</c:v>
                </c:pt>
                <c:pt idx="28">
                  <c:v>7.0928306579589799</c:v>
                </c:pt>
                <c:pt idx="29">
                  <c:v>7.35998487472534</c:v>
                </c:pt>
                <c:pt idx="30">
                  <c:v>7.3204021453857404</c:v>
                </c:pt>
                <c:pt idx="31">
                  <c:v>7.2156910896301296</c:v>
                </c:pt>
              </c:numCache>
            </c:numRef>
          </c:xVal>
          <c:yVal>
            <c:numRef>
              <c:f>HWMsUnc!$D$47:$D$78</c:f>
              <c:numCache>
                <c:formatCode>0.00</c:formatCode>
                <c:ptCount val="32"/>
                <c:pt idx="0">
                  <c:v>5.5200131233595799</c:v>
                </c:pt>
                <c:pt idx="1">
                  <c:v>7.1522309711286089</c:v>
                </c:pt>
                <c:pt idx="2">
                  <c:v>3.9041994750656164</c:v>
                </c:pt>
                <c:pt idx="3">
                  <c:v>7.0866141732283463</c:v>
                </c:pt>
                <c:pt idx="4">
                  <c:v>7.3162729658792642</c:v>
                </c:pt>
                <c:pt idx="5">
                  <c:v>7.9068241469816272</c:v>
                </c:pt>
                <c:pt idx="6">
                  <c:v>3.0839895013123355</c:v>
                </c:pt>
                <c:pt idx="7">
                  <c:v>2.7887139107611545</c:v>
                </c:pt>
                <c:pt idx="8">
                  <c:v>5.4133858267716528</c:v>
                </c:pt>
                <c:pt idx="9">
                  <c:v>8.1036745406824142</c:v>
                </c:pt>
                <c:pt idx="10">
                  <c:v>7.8083989501312328</c:v>
                </c:pt>
                <c:pt idx="11">
                  <c:v>7.6115485564304457</c:v>
                </c:pt>
                <c:pt idx="12">
                  <c:v>7.6115485564304457</c:v>
                </c:pt>
                <c:pt idx="13">
                  <c:v>3.0839895013123355</c:v>
                </c:pt>
                <c:pt idx="14">
                  <c:v>6.0039370078740157</c:v>
                </c:pt>
                <c:pt idx="15">
                  <c:v>5.6102362204724407</c:v>
                </c:pt>
                <c:pt idx="16">
                  <c:v>3.9041994750656164</c:v>
                </c:pt>
                <c:pt idx="17">
                  <c:v>6.8897637795275593</c:v>
                </c:pt>
                <c:pt idx="18">
                  <c:v>7.8083989501312328</c:v>
                </c:pt>
                <c:pt idx="19">
                  <c:v>7.8083989501312328</c:v>
                </c:pt>
                <c:pt idx="20">
                  <c:v>7.8083989501312328</c:v>
                </c:pt>
                <c:pt idx="21">
                  <c:v>8.0052493438320198</c:v>
                </c:pt>
                <c:pt idx="22">
                  <c:v>7.5131233595800522</c:v>
                </c:pt>
                <c:pt idx="23">
                  <c:v>7.6115485564304457</c:v>
                </c:pt>
                <c:pt idx="24">
                  <c:v>7.5131233595800522</c:v>
                </c:pt>
                <c:pt idx="25">
                  <c:v>7.6115485564304457</c:v>
                </c:pt>
                <c:pt idx="26">
                  <c:v>7.7099737532808401</c:v>
                </c:pt>
                <c:pt idx="27">
                  <c:v>7.9068241469816272</c:v>
                </c:pt>
                <c:pt idx="28">
                  <c:v>7.9068241469816272</c:v>
                </c:pt>
                <c:pt idx="29">
                  <c:v>8.1036745406824142</c:v>
                </c:pt>
                <c:pt idx="30">
                  <c:v>8.7926509186351716</c:v>
                </c:pt>
                <c:pt idx="31">
                  <c:v>6.7913385826771648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60-4F9C-A913-F1330784EC53}"/>
            </c:ext>
          </c:extLst>
        </c:ser>
        <c:ser>
          <c:idx val="1"/>
          <c:order val="3"/>
          <c:tx>
            <c:v>1to1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HWMsUnc!$J$1:$J$12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HWMsUnc!$K$1:$K$12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9E-400F-9EA3-A88BD965F2E0}"/>
            </c:ext>
          </c:extLst>
        </c:ser>
        <c:ser>
          <c:idx val="2"/>
          <c:order val="4"/>
          <c:tx>
            <c:v>+/- 1 RMSE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5A9E-400F-9EA3-A88BD965F2E0}"/>
              </c:ext>
            </c:extLst>
          </c:dPt>
          <c:xVal>
            <c:numRef>
              <c:f>HWMsUnc!$K$1:$K$12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HWMsUnc!$M$1:$M$12</c:f>
              <c:numCache>
                <c:formatCode>0.00</c:formatCode>
                <c:ptCount val="12"/>
                <c:pt idx="0">
                  <c:v>1.4575945247019666</c:v>
                </c:pt>
                <c:pt idx="1">
                  <c:v>2.4575945247019666</c:v>
                </c:pt>
                <c:pt idx="2">
                  <c:v>3.4575945247019666</c:v>
                </c:pt>
                <c:pt idx="3">
                  <c:v>4.4575945247019666</c:v>
                </c:pt>
                <c:pt idx="4">
                  <c:v>5.4575945247019666</c:v>
                </c:pt>
                <c:pt idx="5">
                  <c:v>6.4575945247019666</c:v>
                </c:pt>
                <c:pt idx="6">
                  <c:v>7.4575945247019666</c:v>
                </c:pt>
                <c:pt idx="7">
                  <c:v>8.4575945247019675</c:v>
                </c:pt>
                <c:pt idx="8">
                  <c:v>9.4575945247019675</c:v>
                </c:pt>
                <c:pt idx="9">
                  <c:v>10.457594524701967</c:v>
                </c:pt>
                <c:pt idx="10">
                  <c:v>11.457594524701967</c:v>
                </c:pt>
                <c:pt idx="11">
                  <c:v>12.457594524701967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9E-400F-9EA3-A88BD965F2E0}"/>
            </c:ext>
          </c:extLst>
        </c:ser>
        <c:ser>
          <c:idx val="3"/>
          <c:order val="5"/>
          <c:tx>
            <c:v>-1std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HWMsUnc!$J$1:$J$12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numCache>
            </c:numRef>
          </c:xVal>
          <c:yVal>
            <c:numRef>
              <c:f>HWMsUnc!$N$1:$N$12</c:f>
              <c:numCache>
                <c:formatCode>0.00</c:formatCode>
                <c:ptCount val="12"/>
                <c:pt idx="0">
                  <c:v>-1.4575945247019666</c:v>
                </c:pt>
                <c:pt idx="1">
                  <c:v>-0.4575945247019666</c:v>
                </c:pt>
                <c:pt idx="2">
                  <c:v>0.5424054752980334</c:v>
                </c:pt>
                <c:pt idx="3">
                  <c:v>1.5424054752980334</c:v>
                </c:pt>
                <c:pt idx="4">
                  <c:v>2.5424054752980334</c:v>
                </c:pt>
                <c:pt idx="5">
                  <c:v>3.5424054752980334</c:v>
                </c:pt>
                <c:pt idx="6">
                  <c:v>4.5424054752980334</c:v>
                </c:pt>
                <c:pt idx="7">
                  <c:v>5.5424054752980334</c:v>
                </c:pt>
                <c:pt idx="8">
                  <c:v>6.5424054752980334</c:v>
                </c:pt>
                <c:pt idx="9">
                  <c:v>7.5424054752980334</c:v>
                </c:pt>
                <c:pt idx="10">
                  <c:v>8.5424054752980325</c:v>
                </c:pt>
                <c:pt idx="11">
                  <c:v>9.5424054752980325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9E-400F-9EA3-A88BD965F2E0}"/>
            </c:ext>
          </c:extLst>
        </c:ser>
        <c:ser>
          <c:idx val="6"/>
          <c:order val="6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22225" cap="rnd">
                <a:solidFill>
                  <a:schemeClr val="accent5">
                    <a:lumMod val="75000"/>
                  </a:schemeClr>
                </a:solidFill>
                <a:prstDash val="dash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1118853893263339"/>
                  <c:y val="-4.68326279281725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HWMsUnc!$C$2:$C$78</c:f>
              <c:numCache>
                <c:formatCode>0.00</c:formatCode>
                <c:ptCount val="77"/>
                <c:pt idx="0">
                  <c:v>3.7233855724334699</c:v>
                </c:pt>
                <c:pt idx="1">
                  <c:v>5.72916555404663</c:v>
                </c:pt>
                <c:pt idx="2">
                  <c:v>5.0082039833068901</c:v>
                </c:pt>
                <c:pt idx="3">
                  <c:v>4.4980382919311497</c:v>
                </c:pt>
                <c:pt idx="4">
                  <c:v>3.95935106277466</c:v>
                </c:pt>
                <c:pt idx="5">
                  <c:v>5.4652352333068901</c:v>
                </c:pt>
                <c:pt idx="6">
                  <c:v>4.2184967994689897</c:v>
                </c:pt>
                <c:pt idx="7">
                  <c:v>3.7128424644470202</c:v>
                </c:pt>
                <c:pt idx="8">
                  <c:v>3.67661809921265</c:v>
                </c:pt>
                <c:pt idx="9">
                  <c:v>3.51528763771057</c:v>
                </c:pt>
                <c:pt idx="10">
                  <c:v>3.7748730182647701</c:v>
                </c:pt>
                <c:pt idx="11">
                  <c:v>4.0807862281799299</c:v>
                </c:pt>
                <c:pt idx="12">
                  <c:v>3.3628726005554199</c:v>
                </c:pt>
                <c:pt idx="13">
                  <c:v>6.0650968551635698</c:v>
                </c:pt>
                <c:pt idx="14">
                  <c:v>4.0460782051086399</c:v>
                </c:pt>
                <c:pt idx="15">
                  <c:v>2.98954105377197</c:v>
                </c:pt>
                <c:pt idx="16">
                  <c:v>3.56606197357178</c:v>
                </c:pt>
                <c:pt idx="17">
                  <c:v>3.2850718498229998</c:v>
                </c:pt>
                <c:pt idx="18">
                  <c:v>6.0540742874145499</c:v>
                </c:pt>
                <c:pt idx="19">
                  <c:v>9.6872138977050799</c:v>
                </c:pt>
                <c:pt idx="20">
                  <c:v>9.6946735382080096</c:v>
                </c:pt>
                <c:pt idx="21">
                  <c:v>6.6786556243896502</c:v>
                </c:pt>
                <c:pt idx="22">
                  <c:v>6.67747259140015</c:v>
                </c:pt>
                <c:pt idx="23">
                  <c:v>5.9534277915954599</c:v>
                </c:pt>
                <c:pt idx="24">
                  <c:v>9.7008914947509801</c:v>
                </c:pt>
                <c:pt idx="25">
                  <c:v>6.2986431121826199</c:v>
                </c:pt>
                <c:pt idx="26">
                  <c:v>6.79776906967163</c:v>
                </c:pt>
                <c:pt idx="27">
                  <c:v>7.3585228919982901</c:v>
                </c:pt>
                <c:pt idx="28">
                  <c:v>7.6473846435546902</c:v>
                </c:pt>
                <c:pt idx="29">
                  <c:v>7.3640232086181596</c:v>
                </c:pt>
                <c:pt idx="30">
                  <c:v>7.8464527130126998</c:v>
                </c:pt>
                <c:pt idx="31">
                  <c:v>9.5174188613891602</c:v>
                </c:pt>
                <c:pt idx="32">
                  <c:v>7.9346795082092303</c:v>
                </c:pt>
                <c:pt idx="33">
                  <c:v>8.9559440612793004</c:v>
                </c:pt>
                <c:pt idx="34">
                  <c:v>9.66754150390625</c:v>
                </c:pt>
                <c:pt idx="35">
                  <c:v>9.6456165313720703</c:v>
                </c:pt>
                <c:pt idx="36">
                  <c:v>8.9654216766357404</c:v>
                </c:pt>
                <c:pt idx="37">
                  <c:v>8.0004119873046893</c:v>
                </c:pt>
                <c:pt idx="38">
                  <c:v>8.0004119873046893</c:v>
                </c:pt>
                <c:pt idx="39">
                  <c:v>8.3579778671264702</c:v>
                </c:pt>
                <c:pt idx="40">
                  <c:v>8.1165866851806605</c:v>
                </c:pt>
                <c:pt idx="41">
                  <c:v>10.573305130004901</c:v>
                </c:pt>
                <c:pt idx="42">
                  <c:v>10.674643516540501</c:v>
                </c:pt>
                <c:pt idx="43">
                  <c:v>10.711098670959499</c:v>
                </c:pt>
                <c:pt idx="44">
                  <c:v>10.729395866394</c:v>
                </c:pt>
                <c:pt idx="45">
                  <c:v>5.9937381744384801</c:v>
                </c:pt>
                <c:pt idx="46">
                  <c:v>7.00988864898682</c:v>
                </c:pt>
                <c:pt idx="47">
                  <c:v>4.24137687683106</c:v>
                </c:pt>
                <c:pt idx="48">
                  <c:v>7.00988864898682</c:v>
                </c:pt>
                <c:pt idx="49">
                  <c:v>6.9594659805297896</c:v>
                </c:pt>
                <c:pt idx="50">
                  <c:v>7.2202048301696804</c:v>
                </c:pt>
                <c:pt idx="51">
                  <c:v>3.3189945220947301</c:v>
                </c:pt>
                <c:pt idx="52">
                  <c:v>3.30728340148926</c:v>
                </c:pt>
                <c:pt idx="53">
                  <c:v>3.9617507457733199</c:v>
                </c:pt>
                <c:pt idx="54">
                  <c:v>7.0028038024902299</c:v>
                </c:pt>
                <c:pt idx="55">
                  <c:v>7.0861783027648899</c:v>
                </c:pt>
                <c:pt idx="56">
                  <c:v>7.1792311668395996</c:v>
                </c:pt>
                <c:pt idx="57">
                  <c:v>7.0784811973571804</c:v>
                </c:pt>
                <c:pt idx="58">
                  <c:v>3.3189945220947301</c:v>
                </c:pt>
                <c:pt idx="59">
                  <c:v>5.0759534835815403</c:v>
                </c:pt>
                <c:pt idx="60">
                  <c:v>6.6534771919250497</c:v>
                </c:pt>
                <c:pt idx="61">
                  <c:v>6.5323867797851598</c:v>
                </c:pt>
                <c:pt idx="62">
                  <c:v>7.2512969970703098</c:v>
                </c:pt>
                <c:pt idx="63">
                  <c:v>7.0861783027648899</c:v>
                </c:pt>
                <c:pt idx="64">
                  <c:v>7.4058141708373997</c:v>
                </c:pt>
                <c:pt idx="65">
                  <c:v>6.9931893348693901</c:v>
                </c:pt>
                <c:pt idx="66">
                  <c:v>7.18878126144409</c:v>
                </c:pt>
                <c:pt idx="67">
                  <c:v>7.2060003280639702</c:v>
                </c:pt>
                <c:pt idx="68">
                  <c:v>7.1792311668395996</c:v>
                </c:pt>
                <c:pt idx="69">
                  <c:v>7.1906485557556197</c:v>
                </c:pt>
                <c:pt idx="70">
                  <c:v>7.1651611328125</c:v>
                </c:pt>
                <c:pt idx="71">
                  <c:v>7.18349266052246</c:v>
                </c:pt>
                <c:pt idx="72">
                  <c:v>7.2202048301696804</c:v>
                </c:pt>
                <c:pt idx="73">
                  <c:v>7.0928306579589799</c:v>
                </c:pt>
                <c:pt idx="74">
                  <c:v>7.35998487472534</c:v>
                </c:pt>
                <c:pt idx="75">
                  <c:v>7.3204021453857404</c:v>
                </c:pt>
                <c:pt idx="76">
                  <c:v>7.2156910896301296</c:v>
                </c:pt>
              </c:numCache>
            </c:numRef>
          </c:xVal>
          <c:yVal>
            <c:numRef>
              <c:f>HWMsUnc!$D$2:$D$78</c:f>
              <c:numCache>
                <c:formatCode>0.00</c:formatCode>
                <c:ptCount val="77"/>
                <c:pt idx="0">
                  <c:v>3.6745406824146984</c:v>
                </c:pt>
                <c:pt idx="1">
                  <c:v>5.7414698162729652</c:v>
                </c:pt>
                <c:pt idx="2">
                  <c:v>5.6430446194225716</c:v>
                </c:pt>
                <c:pt idx="3">
                  <c:v>4.4947506561679793</c:v>
                </c:pt>
                <c:pt idx="4">
                  <c:v>3.4448818897637796</c:v>
                </c:pt>
                <c:pt idx="5">
                  <c:v>5.3477690288713902</c:v>
                </c:pt>
                <c:pt idx="6">
                  <c:v>4.363517060367454</c:v>
                </c:pt>
                <c:pt idx="7">
                  <c:v>2.5918635170603674</c:v>
                </c:pt>
                <c:pt idx="8">
                  <c:v>3.8385826771653537</c:v>
                </c:pt>
                <c:pt idx="9">
                  <c:v>2.1325459317585302</c:v>
                </c:pt>
                <c:pt idx="10">
                  <c:v>2.7887139107611545</c:v>
                </c:pt>
                <c:pt idx="11">
                  <c:v>3.969816272965879</c:v>
                </c:pt>
                <c:pt idx="12">
                  <c:v>2.8543307086614171</c:v>
                </c:pt>
                <c:pt idx="13">
                  <c:v>5.3805774278215219</c:v>
                </c:pt>
                <c:pt idx="14">
                  <c:v>4.0026246719160099</c:v>
                </c:pt>
                <c:pt idx="15">
                  <c:v>2.001312335958005</c:v>
                </c:pt>
                <c:pt idx="16">
                  <c:v>2.9527559055118111</c:v>
                </c:pt>
                <c:pt idx="17">
                  <c:v>3.6417322834645671</c:v>
                </c:pt>
                <c:pt idx="18">
                  <c:v>5.577427821522309</c:v>
                </c:pt>
                <c:pt idx="19" formatCode="General">
                  <c:v>10.14</c:v>
                </c:pt>
                <c:pt idx="20" formatCode="General">
                  <c:v>8.39</c:v>
                </c:pt>
                <c:pt idx="21" formatCode="General">
                  <c:v>6.45</c:v>
                </c:pt>
                <c:pt idx="22" formatCode="General">
                  <c:v>6.53</c:v>
                </c:pt>
                <c:pt idx="23" formatCode="General">
                  <c:v>6.95</c:v>
                </c:pt>
                <c:pt idx="24" formatCode="General">
                  <c:v>7.71</c:v>
                </c:pt>
                <c:pt idx="25" formatCode="General">
                  <c:v>5.64</c:v>
                </c:pt>
                <c:pt idx="26" formatCode="General">
                  <c:v>5.41</c:v>
                </c:pt>
                <c:pt idx="27" formatCode="General">
                  <c:v>4.8899999999999997</c:v>
                </c:pt>
                <c:pt idx="28" formatCode="General">
                  <c:v>5.6</c:v>
                </c:pt>
                <c:pt idx="29" formatCode="General">
                  <c:v>3.63</c:v>
                </c:pt>
                <c:pt idx="30" formatCode="General">
                  <c:v>5.56</c:v>
                </c:pt>
                <c:pt idx="31" formatCode="General">
                  <c:v>7.41</c:v>
                </c:pt>
                <c:pt idx="32" formatCode="General">
                  <c:v>5.45</c:v>
                </c:pt>
                <c:pt idx="33" formatCode="General">
                  <c:v>6.96</c:v>
                </c:pt>
                <c:pt idx="34" formatCode="General">
                  <c:v>5.75</c:v>
                </c:pt>
                <c:pt idx="35" formatCode="General">
                  <c:v>7.18</c:v>
                </c:pt>
                <c:pt idx="36" formatCode="General">
                  <c:v>6</c:v>
                </c:pt>
                <c:pt idx="37" formatCode="General">
                  <c:v>5.08</c:v>
                </c:pt>
                <c:pt idx="38" formatCode="General">
                  <c:v>5.52</c:v>
                </c:pt>
                <c:pt idx="39" formatCode="General">
                  <c:v>6.44</c:v>
                </c:pt>
                <c:pt idx="40" formatCode="General">
                  <c:v>6.18</c:v>
                </c:pt>
                <c:pt idx="41" formatCode="General">
                  <c:v>6.36</c:v>
                </c:pt>
                <c:pt idx="42" formatCode="General">
                  <c:v>8.66</c:v>
                </c:pt>
                <c:pt idx="43" formatCode="General">
                  <c:v>8.77</c:v>
                </c:pt>
                <c:pt idx="44" formatCode="General">
                  <c:v>8.8699999999999992</c:v>
                </c:pt>
                <c:pt idx="45">
                  <c:v>5.5200131233595799</c:v>
                </c:pt>
                <c:pt idx="46">
                  <c:v>7.1522309711286089</c:v>
                </c:pt>
                <c:pt idx="47">
                  <c:v>3.9041994750656164</c:v>
                </c:pt>
                <c:pt idx="48">
                  <c:v>7.0866141732283463</c:v>
                </c:pt>
                <c:pt idx="49">
                  <c:v>7.3162729658792642</c:v>
                </c:pt>
                <c:pt idx="50">
                  <c:v>7.9068241469816272</c:v>
                </c:pt>
                <c:pt idx="51">
                  <c:v>3.0839895013123355</c:v>
                </c:pt>
                <c:pt idx="52">
                  <c:v>2.7887139107611545</c:v>
                </c:pt>
                <c:pt idx="53">
                  <c:v>5.4133858267716528</c:v>
                </c:pt>
                <c:pt idx="54">
                  <c:v>8.1036745406824142</c:v>
                </c:pt>
                <c:pt idx="55">
                  <c:v>7.8083989501312328</c:v>
                </c:pt>
                <c:pt idx="56">
                  <c:v>7.6115485564304457</c:v>
                </c:pt>
                <c:pt idx="57">
                  <c:v>7.6115485564304457</c:v>
                </c:pt>
                <c:pt idx="58">
                  <c:v>3.0839895013123355</c:v>
                </c:pt>
                <c:pt idx="59">
                  <c:v>6.0039370078740157</c:v>
                </c:pt>
                <c:pt idx="60">
                  <c:v>5.6102362204724407</c:v>
                </c:pt>
                <c:pt idx="61">
                  <c:v>3.9041994750656164</c:v>
                </c:pt>
                <c:pt idx="62">
                  <c:v>6.8897637795275593</c:v>
                </c:pt>
                <c:pt idx="63">
                  <c:v>7.8083989501312328</c:v>
                </c:pt>
                <c:pt idx="64">
                  <c:v>7.8083989501312328</c:v>
                </c:pt>
                <c:pt idx="65">
                  <c:v>7.8083989501312328</c:v>
                </c:pt>
                <c:pt idx="66">
                  <c:v>8.0052493438320198</c:v>
                </c:pt>
                <c:pt idx="67">
                  <c:v>7.5131233595800522</c:v>
                </c:pt>
                <c:pt idx="68">
                  <c:v>7.6115485564304457</c:v>
                </c:pt>
                <c:pt idx="69">
                  <c:v>7.5131233595800522</c:v>
                </c:pt>
                <c:pt idx="70">
                  <c:v>7.6115485564304457</c:v>
                </c:pt>
                <c:pt idx="71">
                  <c:v>7.7099737532808401</c:v>
                </c:pt>
                <c:pt idx="72">
                  <c:v>7.9068241469816272</c:v>
                </c:pt>
                <c:pt idx="73">
                  <c:v>7.9068241469816272</c:v>
                </c:pt>
                <c:pt idx="74">
                  <c:v>8.1036745406824142</c:v>
                </c:pt>
                <c:pt idx="75">
                  <c:v>8.7926509186351716</c:v>
                </c:pt>
                <c:pt idx="76">
                  <c:v>6.7913385826771648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60-4F9C-A913-F1330784E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860511"/>
        <c:axId val="1022865087"/>
      </c:scatterChart>
      <c:valAx>
        <c:axId val="1022860511"/>
        <c:scaling>
          <c:orientation val="minMax"/>
          <c:max val="1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Modeled</a:t>
                </a:r>
                <a:r>
                  <a:rPr lang="en-US" sz="11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water surface elevation (ft)</a:t>
                </a:r>
                <a:endParaRPr lang="en-US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2865087"/>
        <c:crosses val="autoZero"/>
        <c:crossBetween val="midCat"/>
        <c:majorUnit val="1"/>
      </c:valAx>
      <c:valAx>
        <c:axId val="1022865087"/>
        <c:scaling>
          <c:orientation val="minMax"/>
          <c:max val="11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Observed water surface elevation (ft)</a:t>
                </a:r>
                <a:endParaRPr lang="en-US" sz="11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2860511"/>
        <c:crosses val="autoZero"/>
        <c:crossBetween val="midCat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17255293088363954"/>
          <c:y val="0.88575048474567641"/>
          <c:w val="0.73239085739282583"/>
          <c:h val="8.2880609007224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TCs numerical model uncertainty for Gage</a:t>
            </a:r>
            <a:r>
              <a:rPr lang="en-US" sz="12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data and High-water marks</a:t>
            </a:r>
            <a:r>
              <a:rPr lang="en-US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</a:p>
        </c:rich>
      </c:tx>
      <c:layout>
        <c:manualLayout>
          <c:xMode val="edge"/>
          <c:yMode val="edge"/>
          <c:x val="0.18848940036341616"/>
          <c:y val="1.52003836058954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29093478699778"/>
          <c:y val="7.8856664410161384E-2"/>
          <c:w val="0.81943985126859142"/>
          <c:h val="0.60715021199273178"/>
        </c:manualLayout>
      </c:layout>
      <c:scatterChart>
        <c:scatterStyle val="lineMarker"/>
        <c:varyColors val="0"/>
        <c:ser>
          <c:idx val="0"/>
          <c:order val="0"/>
          <c:tx>
            <c:v>Barry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 cap="rnd">
                <a:solidFill>
                  <a:schemeClr val="tx1"/>
                </a:solidFill>
              </a:ln>
              <a:effectLst/>
            </c:spPr>
          </c:marker>
          <c:xVal>
            <c:numRef>
              <c:f>Plot!$B$2:$B$29</c:f>
              <c:numCache>
                <c:formatCode>General</c:formatCode>
                <c:ptCount val="28"/>
                <c:pt idx="0">
                  <c:v>1.7747837305069001</c:v>
                </c:pt>
                <c:pt idx="1">
                  <c:v>1.7643300294876101</c:v>
                </c:pt>
                <c:pt idx="2">
                  <c:v>2.4502096176147501</c:v>
                </c:pt>
                <c:pt idx="3">
                  <c:v>4.3228030204773003</c:v>
                </c:pt>
                <c:pt idx="4">
                  <c:v>2.9533932209014901</c:v>
                </c:pt>
                <c:pt idx="5">
                  <c:v>6.9931397438049299</c:v>
                </c:pt>
                <c:pt idx="6">
                  <c:v>7.6360449790954599</c:v>
                </c:pt>
                <c:pt idx="7">
                  <c:v>1.2978254556655899</c:v>
                </c:pt>
                <c:pt idx="8">
                  <c:v>6.4694113731384304</c:v>
                </c:pt>
                <c:pt idx="9">
                  <c:v>2.4952099323272701</c:v>
                </c:pt>
                <c:pt idx="10">
                  <c:v>2.3596179485321001</c:v>
                </c:pt>
                <c:pt idx="11">
                  <c:v>3.5841221809387198</c:v>
                </c:pt>
                <c:pt idx="12">
                  <c:v>5.1694192886352504</c:v>
                </c:pt>
                <c:pt idx="13">
                  <c:v>3.6750211715698198</c:v>
                </c:pt>
                <c:pt idx="14">
                  <c:v>9.7127122879028303</c:v>
                </c:pt>
                <c:pt idx="15">
                  <c:v>5.5770568847656303</c:v>
                </c:pt>
                <c:pt idx="16">
                  <c:v>14.760377883911101</c:v>
                </c:pt>
                <c:pt idx="17">
                  <c:v>8.9884366989135707</c:v>
                </c:pt>
                <c:pt idx="18">
                  <c:v>17.894950866699201</c:v>
                </c:pt>
                <c:pt idx="19">
                  <c:v>34.691097259521499</c:v>
                </c:pt>
                <c:pt idx="20">
                  <c:v>12.0711402893066</c:v>
                </c:pt>
                <c:pt idx="21">
                  <c:v>5.5747094154357901</c:v>
                </c:pt>
                <c:pt idx="22">
                  <c:v>5.5777354240417498</c:v>
                </c:pt>
                <c:pt idx="23">
                  <c:v>5.5777354240417498</c:v>
                </c:pt>
                <c:pt idx="24">
                  <c:v>17.406356811523398</c:v>
                </c:pt>
                <c:pt idx="25">
                  <c:v>28.687623977661101</c:v>
                </c:pt>
                <c:pt idx="26">
                  <c:v>3.0287299156189</c:v>
                </c:pt>
                <c:pt idx="27">
                  <c:v>3.4605119228363002</c:v>
                </c:pt>
              </c:numCache>
            </c:numRef>
          </c:xVal>
          <c:yVal>
            <c:numRef>
              <c:f>Plot!$C$2:$C$29</c:f>
              <c:numCache>
                <c:formatCode>General</c:formatCode>
                <c:ptCount val="28"/>
                <c:pt idx="0">
                  <c:v>3.57</c:v>
                </c:pt>
                <c:pt idx="1">
                  <c:v>2.16</c:v>
                </c:pt>
                <c:pt idx="2">
                  <c:v>1.95</c:v>
                </c:pt>
                <c:pt idx="3">
                  <c:v>1.96</c:v>
                </c:pt>
                <c:pt idx="4">
                  <c:v>2.09</c:v>
                </c:pt>
                <c:pt idx="5">
                  <c:v>2.09</c:v>
                </c:pt>
                <c:pt idx="6">
                  <c:v>4.4800000000000004</c:v>
                </c:pt>
                <c:pt idx="7">
                  <c:v>2.4900000000000002</c:v>
                </c:pt>
                <c:pt idx="8">
                  <c:v>2.58</c:v>
                </c:pt>
                <c:pt idx="9">
                  <c:v>3.42</c:v>
                </c:pt>
                <c:pt idx="10">
                  <c:v>3.01</c:v>
                </c:pt>
                <c:pt idx="11">
                  <c:v>3.5</c:v>
                </c:pt>
                <c:pt idx="12">
                  <c:v>4.05</c:v>
                </c:pt>
                <c:pt idx="13">
                  <c:v>3.5999999999999996</c:v>
                </c:pt>
                <c:pt idx="14">
                  <c:v>7.65</c:v>
                </c:pt>
                <c:pt idx="15">
                  <c:v>5.3199999999999994</c:v>
                </c:pt>
                <c:pt idx="16">
                  <c:v>16.5</c:v>
                </c:pt>
                <c:pt idx="17">
                  <c:v>11.28</c:v>
                </c:pt>
                <c:pt idx="18">
                  <c:v>19.41</c:v>
                </c:pt>
                <c:pt idx="19">
                  <c:v>35.840000000000003</c:v>
                </c:pt>
                <c:pt idx="20">
                  <c:v>12.29</c:v>
                </c:pt>
                <c:pt idx="21">
                  <c:v>4.01</c:v>
                </c:pt>
                <c:pt idx="22">
                  <c:v>8.77</c:v>
                </c:pt>
                <c:pt idx="23">
                  <c:v>6.21</c:v>
                </c:pt>
                <c:pt idx="24">
                  <c:v>16.690000000000001</c:v>
                </c:pt>
                <c:pt idx="25">
                  <c:v>32.159999999999997</c:v>
                </c:pt>
                <c:pt idx="26">
                  <c:v>4.78</c:v>
                </c:pt>
                <c:pt idx="27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F1-47B3-A021-2E332F31BE51}"/>
            </c:ext>
          </c:extLst>
        </c:ser>
        <c:ser>
          <c:idx val="5"/>
          <c:order val="1"/>
          <c:tx>
            <c:v>Bonnie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Plot!$B$30:$B$47</c:f>
              <c:numCache>
                <c:formatCode>General</c:formatCode>
                <c:ptCount val="18"/>
                <c:pt idx="0">
                  <c:v>1.0305161476135301</c:v>
                </c:pt>
                <c:pt idx="1">
                  <c:v>0.384113729000092</c:v>
                </c:pt>
                <c:pt idx="2">
                  <c:v>1.92495560646057</c:v>
                </c:pt>
                <c:pt idx="3">
                  <c:v>6.36513328552246</c:v>
                </c:pt>
                <c:pt idx="4">
                  <c:v>6.6704859733581499</c:v>
                </c:pt>
                <c:pt idx="5">
                  <c:v>0.84762668609619096</c:v>
                </c:pt>
                <c:pt idx="6">
                  <c:v>2.9149236679077202</c:v>
                </c:pt>
                <c:pt idx="7">
                  <c:v>1.35436511039734</c:v>
                </c:pt>
                <c:pt idx="8">
                  <c:v>1.3260631561279299</c:v>
                </c:pt>
                <c:pt idx="9">
                  <c:v>3.68542551994324</c:v>
                </c:pt>
                <c:pt idx="10">
                  <c:v>1.3462396860122701</c:v>
                </c:pt>
                <c:pt idx="11">
                  <c:v>1.3738472461700399</c:v>
                </c:pt>
                <c:pt idx="12">
                  <c:v>10.230510711669901</c:v>
                </c:pt>
                <c:pt idx="13">
                  <c:v>19.193195343017599</c:v>
                </c:pt>
                <c:pt idx="14">
                  <c:v>10.0575723648071</c:v>
                </c:pt>
                <c:pt idx="15">
                  <c:v>1.4219319820404099</c:v>
                </c:pt>
                <c:pt idx="16">
                  <c:v>1.4219366312027</c:v>
                </c:pt>
                <c:pt idx="17">
                  <c:v>1.4219366312027</c:v>
                </c:pt>
              </c:numCache>
            </c:numRef>
          </c:xVal>
          <c:yVal>
            <c:numRef>
              <c:f>Plot!$C$30:$C$47</c:f>
              <c:numCache>
                <c:formatCode>General</c:formatCode>
                <c:ptCount val="18"/>
                <c:pt idx="0">
                  <c:v>1.89</c:v>
                </c:pt>
                <c:pt idx="1">
                  <c:v>1.66</c:v>
                </c:pt>
                <c:pt idx="2">
                  <c:v>1.81</c:v>
                </c:pt>
                <c:pt idx="3">
                  <c:v>1.79</c:v>
                </c:pt>
                <c:pt idx="4">
                  <c:v>3.1</c:v>
                </c:pt>
                <c:pt idx="5">
                  <c:v>1.56</c:v>
                </c:pt>
                <c:pt idx="6">
                  <c:v>1.59</c:v>
                </c:pt>
                <c:pt idx="7">
                  <c:v>1.46</c:v>
                </c:pt>
                <c:pt idx="8">
                  <c:v>1.33</c:v>
                </c:pt>
                <c:pt idx="9">
                  <c:v>1.91</c:v>
                </c:pt>
                <c:pt idx="10">
                  <c:v>1.3299999999999998</c:v>
                </c:pt>
                <c:pt idx="11">
                  <c:v>1.51</c:v>
                </c:pt>
                <c:pt idx="12">
                  <c:v>6.7</c:v>
                </c:pt>
                <c:pt idx="13">
                  <c:v>17.399999999999999</c:v>
                </c:pt>
                <c:pt idx="14">
                  <c:v>6.58</c:v>
                </c:pt>
                <c:pt idx="15">
                  <c:v>2.19</c:v>
                </c:pt>
                <c:pt idx="16">
                  <c:v>1.58</c:v>
                </c:pt>
                <c:pt idx="17">
                  <c:v>1.5299999999999998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F1-47B3-A021-2E332F31BE51}"/>
            </c:ext>
          </c:extLst>
        </c:ser>
        <c:ser>
          <c:idx val="6"/>
          <c:order val="2"/>
          <c:tx>
            <c:v>Cindy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Plot!$B$48:$B$72</c:f>
              <c:numCache>
                <c:formatCode>General</c:formatCode>
                <c:ptCount val="25"/>
                <c:pt idx="0">
                  <c:v>1.7448360919952399</c:v>
                </c:pt>
                <c:pt idx="1">
                  <c:v>1.74316370487213</c:v>
                </c:pt>
                <c:pt idx="2">
                  <c:v>5.3458561897277797</c:v>
                </c:pt>
                <c:pt idx="3">
                  <c:v>3.7474431991577202</c:v>
                </c:pt>
                <c:pt idx="4">
                  <c:v>7.52278709411621</c:v>
                </c:pt>
                <c:pt idx="5">
                  <c:v>2.1431634426116899</c:v>
                </c:pt>
                <c:pt idx="6">
                  <c:v>7.5633044242858896</c:v>
                </c:pt>
                <c:pt idx="7">
                  <c:v>2.3384270668029798</c:v>
                </c:pt>
                <c:pt idx="8">
                  <c:v>2.2785804271697998</c:v>
                </c:pt>
                <c:pt idx="9">
                  <c:v>3.0304300785064702</c:v>
                </c:pt>
                <c:pt idx="10">
                  <c:v>5.4484338760376003</c:v>
                </c:pt>
                <c:pt idx="11">
                  <c:v>3.1025092601776101</c:v>
                </c:pt>
                <c:pt idx="12">
                  <c:v>8.5261201858520508</c:v>
                </c:pt>
                <c:pt idx="13">
                  <c:v>4.5187416076660201</c:v>
                </c:pt>
                <c:pt idx="14">
                  <c:v>12.7478532791138</c:v>
                </c:pt>
                <c:pt idx="15">
                  <c:v>22.960983276367202</c:v>
                </c:pt>
                <c:pt idx="16">
                  <c:v>14.9496564865112</c:v>
                </c:pt>
                <c:pt idx="17">
                  <c:v>34.016136169433601</c:v>
                </c:pt>
                <c:pt idx="18">
                  <c:v>11.529076576232899</c:v>
                </c:pt>
                <c:pt idx="19">
                  <c:v>4.5333824157714799</c:v>
                </c:pt>
                <c:pt idx="20">
                  <c:v>4.5196471214294398</c:v>
                </c:pt>
                <c:pt idx="21">
                  <c:v>13.547269821166999</c:v>
                </c:pt>
                <c:pt idx="22">
                  <c:v>24.961597442626999</c:v>
                </c:pt>
                <c:pt idx="23">
                  <c:v>7.6003174781799299</c:v>
                </c:pt>
                <c:pt idx="24">
                  <c:v>3.1085188388824498</c:v>
                </c:pt>
              </c:numCache>
            </c:numRef>
          </c:xVal>
          <c:yVal>
            <c:numRef>
              <c:f>Plot!$C$48:$C$72</c:f>
              <c:numCache>
                <c:formatCode>General</c:formatCode>
                <c:ptCount val="25"/>
                <c:pt idx="0">
                  <c:v>3.7</c:v>
                </c:pt>
                <c:pt idx="1">
                  <c:v>2.16</c:v>
                </c:pt>
                <c:pt idx="2">
                  <c:v>2.64</c:v>
                </c:pt>
                <c:pt idx="3">
                  <c:v>3.2</c:v>
                </c:pt>
                <c:pt idx="4">
                  <c:v>6.01</c:v>
                </c:pt>
                <c:pt idx="5">
                  <c:v>2.83</c:v>
                </c:pt>
                <c:pt idx="6">
                  <c:v>4.95</c:v>
                </c:pt>
                <c:pt idx="7">
                  <c:v>3.4299999999999997</c:v>
                </c:pt>
                <c:pt idx="8">
                  <c:v>3.2199999999999998</c:v>
                </c:pt>
                <c:pt idx="9">
                  <c:v>3.64</c:v>
                </c:pt>
                <c:pt idx="10">
                  <c:v>5.28</c:v>
                </c:pt>
                <c:pt idx="11">
                  <c:v>3.59</c:v>
                </c:pt>
                <c:pt idx="12">
                  <c:v>5.26</c:v>
                </c:pt>
                <c:pt idx="13">
                  <c:v>4.55</c:v>
                </c:pt>
                <c:pt idx="14">
                  <c:v>12.58</c:v>
                </c:pt>
                <c:pt idx="15">
                  <c:v>23.11</c:v>
                </c:pt>
                <c:pt idx="16">
                  <c:v>17.79</c:v>
                </c:pt>
                <c:pt idx="17">
                  <c:v>36.89</c:v>
                </c:pt>
                <c:pt idx="18">
                  <c:v>8.6199999999999992</c:v>
                </c:pt>
                <c:pt idx="19">
                  <c:v>5.93</c:v>
                </c:pt>
                <c:pt idx="20">
                  <c:v>6.63</c:v>
                </c:pt>
                <c:pt idx="21">
                  <c:v>12.65</c:v>
                </c:pt>
                <c:pt idx="22">
                  <c:v>29.25</c:v>
                </c:pt>
                <c:pt idx="23">
                  <c:v>8.85</c:v>
                </c:pt>
                <c:pt idx="24">
                  <c:v>4.6400000000000006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F1-47B3-A021-2E332F31BE51}"/>
            </c:ext>
          </c:extLst>
        </c:ser>
        <c:ser>
          <c:idx val="8"/>
          <c:order val="3"/>
          <c:tx>
            <c:v>Cristobal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Plot!$B$73:$B$102</c:f>
              <c:numCache>
                <c:formatCode>General</c:formatCode>
                <c:ptCount val="30"/>
                <c:pt idx="0">
                  <c:v>1.7548912763595601</c:v>
                </c:pt>
                <c:pt idx="1">
                  <c:v>1.74072730541229</c:v>
                </c:pt>
                <c:pt idx="2">
                  <c:v>2.5323634147643999</c:v>
                </c:pt>
                <c:pt idx="3">
                  <c:v>4.6066775321960503</c:v>
                </c:pt>
                <c:pt idx="4">
                  <c:v>3.0372765064239502</c:v>
                </c:pt>
                <c:pt idx="5">
                  <c:v>7.0073480606079102</c:v>
                </c:pt>
                <c:pt idx="6">
                  <c:v>7.4367904663085902</c:v>
                </c:pt>
                <c:pt idx="7">
                  <c:v>1.2796422243118299</c:v>
                </c:pt>
                <c:pt idx="8">
                  <c:v>6.4352269172668501</c:v>
                </c:pt>
                <c:pt idx="9">
                  <c:v>2.67950439453125</c:v>
                </c:pt>
                <c:pt idx="10">
                  <c:v>1.4560068845748899</c:v>
                </c:pt>
                <c:pt idx="11">
                  <c:v>2.4269831180572501</c:v>
                </c:pt>
                <c:pt idx="12">
                  <c:v>2.6317408084869398</c:v>
                </c:pt>
                <c:pt idx="13">
                  <c:v>5.1936402320861799</c:v>
                </c:pt>
                <c:pt idx="14">
                  <c:v>2.7122390270233199</c:v>
                </c:pt>
                <c:pt idx="15">
                  <c:v>8.3198385238647496</c:v>
                </c:pt>
                <c:pt idx="16">
                  <c:v>3.5651500225067099</c:v>
                </c:pt>
                <c:pt idx="17">
                  <c:v>12.2976484298706</c:v>
                </c:pt>
                <c:pt idx="18">
                  <c:v>22.031641006469702</c:v>
                </c:pt>
                <c:pt idx="19">
                  <c:v>5.35428667068481</c:v>
                </c:pt>
                <c:pt idx="20">
                  <c:v>14.554007530212401</c:v>
                </c:pt>
                <c:pt idx="21">
                  <c:v>33.899063110351598</c:v>
                </c:pt>
                <c:pt idx="22">
                  <c:v>11.3217678070068</c:v>
                </c:pt>
                <c:pt idx="23">
                  <c:v>4.0301814079284703</c:v>
                </c:pt>
                <c:pt idx="24">
                  <c:v>4.0200843811035201</c:v>
                </c:pt>
                <c:pt idx="25">
                  <c:v>4.0200843811035201</c:v>
                </c:pt>
                <c:pt idx="26">
                  <c:v>13.797681808471699</c:v>
                </c:pt>
                <c:pt idx="27">
                  <c:v>24.850339889526399</c:v>
                </c:pt>
                <c:pt idx="28">
                  <c:v>5.0286531448364302</c:v>
                </c:pt>
                <c:pt idx="29">
                  <c:v>5.1613750457763699</c:v>
                </c:pt>
              </c:numCache>
            </c:numRef>
          </c:xVal>
          <c:yVal>
            <c:numRef>
              <c:f>Plot!$C$73:$C$102</c:f>
              <c:numCache>
                <c:formatCode>General</c:formatCode>
                <c:ptCount val="30"/>
                <c:pt idx="0">
                  <c:v>3.43</c:v>
                </c:pt>
                <c:pt idx="1">
                  <c:v>2</c:v>
                </c:pt>
                <c:pt idx="2">
                  <c:v>1.84</c:v>
                </c:pt>
                <c:pt idx="3">
                  <c:v>1.49</c:v>
                </c:pt>
                <c:pt idx="4">
                  <c:v>1.97</c:v>
                </c:pt>
                <c:pt idx="5">
                  <c:v>1.96</c:v>
                </c:pt>
                <c:pt idx="6">
                  <c:v>5.05</c:v>
                </c:pt>
                <c:pt idx="7">
                  <c:v>2.6</c:v>
                </c:pt>
                <c:pt idx="8">
                  <c:v>4.29</c:v>
                </c:pt>
                <c:pt idx="9">
                  <c:v>3.1799999999999997</c:v>
                </c:pt>
                <c:pt idx="10">
                  <c:v>2.41</c:v>
                </c:pt>
                <c:pt idx="11">
                  <c:v>2.82</c:v>
                </c:pt>
                <c:pt idx="12">
                  <c:v>3.08</c:v>
                </c:pt>
                <c:pt idx="13">
                  <c:v>3.37</c:v>
                </c:pt>
                <c:pt idx="14">
                  <c:v>3.13</c:v>
                </c:pt>
                <c:pt idx="15">
                  <c:v>7.13</c:v>
                </c:pt>
                <c:pt idx="16">
                  <c:v>3.58</c:v>
                </c:pt>
                <c:pt idx="17">
                  <c:v>12.03</c:v>
                </c:pt>
                <c:pt idx="18">
                  <c:v>18.489999999999998</c:v>
                </c:pt>
                <c:pt idx="19">
                  <c:v>6.35</c:v>
                </c:pt>
                <c:pt idx="20">
                  <c:v>15.95</c:v>
                </c:pt>
                <c:pt idx="21">
                  <c:v>32.340000000000003</c:v>
                </c:pt>
                <c:pt idx="22">
                  <c:v>9.27</c:v>
                </c:pt>
                <c:pt idx="23">
                  <c:v>5.07</c:v>
                </c:pt>
                <c:pt idx="24">
                  <c:v>5.78</c:v>
                </c:pt>
                <c:pt idx="25">
                  <c:v>5.43</c:v>
                </c:pt>
                <c:pt idx="26">
                  <c:v>10.28</c:v>
                </c:pt>
                <c:pt idx="27">
                  <c:v>25.77</c:v>
                </c:pt>
                <c:pt idx="28">
                  <c:v>7.3599999999999994</c:v>
                </c:pt>
                <c:pt idx="29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F1-47B3-A021-2E332F31BE51}"/>
            </c:ext>
          </c:extLst>
        </c:ser>
        <c:ser>
          <c:idx val="9"/>
          <c:order val="4"/>
          <c:tx>
            <c:v>Delta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Plot!$B$103:$B$132</c:f>
              <c:numCache>
                <c:formatCode>General</c:formatCode>
                <c:ptCount val="30"/>
                <c:pt idx="0">
                  <c:v>1.9542093276977499</c:v>
                </c:pt>
                <c:pt idx="1">
                  <c:v>1.9476903676986701</c:v>
                </c:pt>
                <c:pt idx="2">
                  <c:v>1.6429135799407999</c:v>
                </c:pt>
                <c:pt idx="3">
                  <c:v>3.9936172962188698</c:v>
                </c:pt>
                <c:pt idx="4">
                  <c:v>2.8888907432556201</c:v>
                </c:pt>
                <c:pt idx="5">
                  <c:v>7.1306881904602104</c:v>
                </c:pt>
                <c:pt idx="6">
                  <c:v>7.6970643997192401</c:v>
                </c:pt>
                <c:pt idx="7">
                  <c:v>1.5557951927185101</c:v>
                </c:pt>
                <c:pt idx="8">
                  <c:v>5.8360567092895499</c:v>
                </c:pt>
                <c:pt idx="9">
                  <c:v>1.7326465845107999</c:v>
                </c:pt>
                <c:pt idx="10">
                  <c:v>1.44899773597717</c:v>
                </c:pt>
                <c:pt idx="11">
                  <c:v>3.1734673976898198</c:v>
                </c:pt>
                <c:pt idx="12">
                  <c:v>6.3795046806335503</c:v>
                </c:pt>
                <c:pt idx="13">
                  <c:v>6.3791599273681596</c:v>
                </c:pt>
                <c:pt idx="14">
                  <c:v>6.4936480522155797</c:v>
                </c:pt>
                <c:pt idx="15">
                  <c:v>9.14300537109375</c:v>
                </c:pt>
                <c:pt idx="16">
                  <c:v>9.48724460601807</c:v>
                </c:pt>
                <c:pt idx="17">
                  <c:v>15.2803955078125</c:v>
                </c:pt>
                <c:pt idx="18">
                  <c:v>27.795467376708999</c:v>
                </c:pt>
                <c:pt idx="19">
                  <c:v>9.2791013717651403</c:v>
                </c:pt>
                <c:pt idx="20">
                  <c:v>20.7529411315918</c:v>
                </c:pt>
                <c:pt idx="21">
                  <c:v>36.550506591796903</c:v>
                </c:pt>
                <c:pt idx="22">
                  <c:v>11.3730764389038</c:v>
                </c:pt>
                <c:pt idx="23">
                  <c:v>6.7314910888671902</c:v>
                </c:pt>
                <c:pt idx="24">
                  <c:v>6.7005734443664604</c:v>
                </c:pt>
                <c:pt idx="25">
                  <c:v>6.7005734443664604</c:v>
                </c:pt>
                <c:pt idx="26">
                  <c:v>17.062202453613299</c:v>
                </c:pt>
                <c:pt idx="27">
                  <c:v>32.014503479003899</c:v>
                </c:pt>
                <c:pt idx="28">
                  <c:v>3.3223969936370898</c:v>
                </c:pt>
                <c:pt idx="29">
                  <c:v>2.53601145744324</c:v>
                </c:pt>
              </c:numCache>
            </c:numRef>
          </c:xVal>
          <c:yVal>
            <c:numRef>
              <c:f>Plot!$C$103:$C$132</c:f>
              <c:numCache>
                <c:formatCode>General</c:formatCode>
                <c:ptCount val="30"/>
                <c:pt idx="0">
                  <c:v>2.96</c:v>
                </c:pt>
                <c:pt idx="1">
                  <c:v>2.31</c:v>
                </c:pt>
                <c:pt idx="2">
                  <c:v>2.11</c:v>
                </c:pt>
                <c:pt idx="3">
                  <c:v>2.09</c:v>
                </c:pt>
                <c:pt idx="4">
                  <c:v>2.13</c:v>
                </c:pt>
                <c:pt idx="5">
                  <c:v>3.18</c:v>
                </c:pt>
                <c:pt idx="6">
                  <c:v>5.05</c:v>
                </c:pt>
                <c:pt idx="7">
                  <c:v>2.31</c:v>
                </c:pt>
                <c:pt idx="8">
                  <c:v>2.34</c:v>
                </c:pt>
                <c:pt idx="9">
                  <c:v>2.7700000000000005</c:v>
                </c:pt>
                <c:pt idx="10">
                  <c:v>2.12</c:v>
                </c:pt>
                <c:pt idx="11">
                  <c:v>2.4499999999999997</c:v>
                </c:pt>
                <c:pt idx="12">
                  <c:v>3.86</c:v>
                </c:pt>
                <c:pt idx="13">
                  <c:v>4.4400000000000004</c:v>
                </c:pt>
                <c:pt idx="14">
                  <c:v>4.0599999999999996</c:v>
                </c:pt>
                <c:pt idx="15">
                  <c:v>6.56</c:v>
                </c:pt>
                <c:pt idx="16">
                  <c:v>6.72</c:v>
                </c:pt>
                <c:pt idx="17">
                  <c:v>18.829999999999998</c:v>
                </c:pt>
                <c:pt idx="18">
                  <c:v>27.5</c:v>
                </c:pt>
                <c:pt idx="19">
                  <c:v>11.27</c:v>
                </c:pt>
                <c:pt idx="20">
                  <c:v>24.6</c:v>
                </c:pt>
                <c:pt idx="21">
                  <c:v>39.92</c:v>
                </c:pt>
                <c:pt idx="22">
                  <c:v>7.66</c:v>
                </c:pt>
                <c:pt idx="23">
                  <c:v>3.14</c:v>
                </c:pt>
                <c:pt idx="24">
                  <c:v>7.8800000000000008</c:v>
                </c:pt>
                <c:pt idx="25">
                  <c:v>3.08</c:v>
                </c:pt>
                <c:pt idx="26">
                  <c:v>16.05</c:v>
                </c:pt>
                <c:pt idx="27">
                  <c:v>35.46</c:v>
                </c:pt>
                <c:pt idx="28">
                  <c:v>4.45</c:v>
                </c:pt>
                <c:pt idx="29">
                  <c:v>3.79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F1-47B3-A021-2E332F31BE51}"/>
            </c:ext>
          </c:extLst>
        </c:ser>
        <c:ser>
          <c:idx val="10"/>
          <c:order val="5"/>
          <c:tx>
            <c:v>Gustav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xVal>
            <c:numRef>
              <c:f>Plot!$B$133:$B$154</c:f>
              <c:numCache>
                <c:formatCode>General</c:formatCode>
                <c:ptCount val="22"/>
                <c:pt idx="0">
                  <c:v>3.5574634075164799</c:v>
                </c:pt>
                <c:pt idx="1">
                  <c:v>5.74534368515015</c:v>
                </c:pt>
                <c:pt idx="2">
                  <c:v>4.8994083404540998</c:v>
                </c:pt>
                <c:pt idx="3">
                  <c:v>8.6035842895507795</c:v>
                </c:pt>
                <c:pt idx="4">
                  <c:v>8.5138425827026403</c:v>
                </c:pt>
                <c:pt idx="5">
                  <c:v>3.4588291645050102</c:v>
                </c:pt>
                <c:pt idx="6">
                  <c:v>7.9618272781372097</c:v>
                </c:pt>
                <c:pt idx="7">
                  <c:v>4.0738792419433603</c:v>
                </c:pt>
                <c:pt idx="8">
                  <c:v>4.8929705619812003</c:v>
                </c:pt>
                <c:pt idx="9">
                  <c:v>9.2662305831909197</c:v>
                </c:pt>
                <c:pt idx="10">
                  <c:v>9.3495330810546893</c:v>
                </c:pt>
                <c:pt idx="11">
                  <c:v>12.4606580734253</c:v>
                </c:pt>
                <c:pt idx="12">
                  <c:v>12.7775478363037</c:v>
                </c:pt>
                <c:pt idx="13">
                  <c:v>17.3054084777832</c:v>
                </c:pt>
                <c:pt idx="14">
                  <c:v>27.449680328369102</c:v>
                </c:pt>
                <c:pt idx="15">
                  <c:v>21.085620880126999</c:v>
                </c:pt>
                <c:pt idx="16">
                  <c:v>36.522716522216797</c:v>
                </c:pt>
                <c:pt idx="17">
                  <c:v>12.519926071166999</c:v>
                </c:pt>
                <c:pt idx="18">
                  <c:v>8.3434467315673793</c:v>
                </c:pt>
                <c:pt idx="19">
                  <c:v>8.3440732955932599</c:v>
                </c:pt>
                <c:pt idx="20">
                  <c:v>17.267972946166999</c:v>
                </c:pt>
                <c:pt idx="21">
                  <c:v>29.1455898284912</c:v>
                </c:pt>
              </c:numCache>
            </c:numRef>
          </c:xVal>
          <c:yVal>
            <c:numRef>
              <c:f>Plot!$C$133:$C$154</c:f>
              <c:numCache>
                <c:formatCode>General</c:formatCode>
                <c:ptCount val="22"/>
                <c:pt idx="0">
                  <c:v>1.49</c:v>
                </c:pt>
                <c:pt idx="1">
                  <c:v>1.78</c:v>
                </c:pt>
                <c:pt idx="2">
                  <c:v>2.76</c:v>
                </c:pt>
                <c:pt idx="3">
                  <c:v>6.07</c:v>
                </c:pt>
                <c:pt idx="4">
                  <c:v>7.29</c:v>
                </c:pt>
                <c:pt idx="5">
                  <c:v>3.09</c:v>
                </c:pt>
                <c:pt idx="6">
                  <c:v>6.55</c:v>
                </c:pt>
                <c:pt idx="7">
                  <c:v>3.8500000000000005</c:v>
                </c:pt>
                <c:pt idx="8">
                  <c:v>3.9799999999999995</c:v>
                </c:pt>
                <c:pt idx="9">
                  <c:v>7.98</c:v>
                </c:pt>
                <c:pt idx="10">
                  <c:v>8.3600000000000012</c:v>
                </c:pt>
                <c:pt idx="11">
                  <c:v>11.41</c:v>
                </c:pt>
                <c:pt idx="12">
                  <c:v>12.08</c:v>
                </c:pt>
                <c:pt idx="13">
                  <c:v>16.61</c:v>
                </c:pt>
                <c:pt idx="14">
                  <c:v>23.93</c:v>
                </c:pt>
                <c:pt idx="15">
                  <c:v>20.6</c:v>
                </c:pt>
                <c:pt idx="16">
                  <c:v>37.819999999999993</c:v>
                </c:pt>
                <c:pt idx="17">
                  <c:v>11.13</c:v>
                </c:pt>
                <c:pt idx="18">
                  <c:v>3.79</c:v>
                </c:pt>
                <c:pt idx="19">
                  <c:v>9.76</c:v>
                </c:pt>
                <c:pt idx="20">
                  <c:v>21.89</c:v>
                </c:pt>
                <c:pt idx="21">
                  <c:v>29.63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F1-47B3-A021-2E332F31BE51}"/>
            </c:ext>
          </c:extLst>
        </c:ser>
        <c:ser>
          <c:idx val="11"/>
          <c:order val="6"/>
          <c:tx>
            <c:v>Harvey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Plot!$B$155:$B$180</c:f>
              <c:numCache>
                <c:formatCode>General</c:formatCode>
                <c:ptCount val="26"/>
                <c:pt idx="0">
                  <c:v>2.0340173244476301</c:v>
                </c:pt>
                <c:pt idx="1">
                  <c:v>2.0504012107849099</c:v>
                </c:pt>
                <c:pt idx="2">
                  <c:v>6.1599831581115696</c:v>
                </c:pt>
                <c:pt idx="3">
                  <c:v>5.2700695991516104</c:v>
                </c:pt>
                <c:pt idx="4">
                  <c:v>8.7693166732788104</c:v>
                </c:pt>
                <c:pt idx="5">
                  <c:v>2.8191168308258101</c:v>
                </c:pt>
                <c:pt idx="6">
                  <c:v>8.1803655624389702</c:v>
                </c:pt>
                <c:pt idx="7">
                  <c:v>1.90528893470764</c:v>
                </c:pt>
                <c:pt idx="8">
                  <c:v>2.2421641349792498</c:v>
                </c:pt>
                <c:pt idx="9">
                  <c:v>3.3617844581603999</c:v>
                </c:pt>
                <c:pt idx="10">
                  <c:v>6.5727596282959002</c:v>
                </c:pt>
                <c:pt idx="11">
                  <c:v>3.41788983345032</c:v>
                </c:pt>
                <c:pt idx="12">
                  <c:v>10.026070594787599</c:v>
                </c:pt>
                <c:pt idx="13">
                  <c:v>4.8860750198364302</c:v>
                </c:pt>
                <c:pt idx="14">
                  <c:v>14.1496467590332</c:v>
                </c:pt>
                <c:pt idx="15">
                  <c:v>22.913082122802699</c:v>
                </c:pt>
                <c:pt idx="16">
                  <c:v>15.881507873535201</c:v>
                </c:pt>
                <c:pt idx="17">
                  <c:v>34.650730133056598</c:v>
                </c:pt>
                <c:pt idx="18">
                  <c:v>11.7999324798584</c:v>
                </c:pt>
                <c:pt idx="19">
                  <c:v>5.9023609161376998</c:v>
                </c:pt>
                <c:pt idx="20">
                  <c:v>5.9138917922973597</c:v>
                </c:pt>
                <c:pt idx="21">
                  <c:v>5.9138917922973597</c:v>
                </c:pt>
                <c:pt idx="22">
                  <c:v>14.5403709411621</c:v>
                </c:pt>
                <c:pt idx="23">
                  <c:v>25.693353652954102</c:v>
                </c:pt>
                <c:pt idx="24">
                  <c:v>8.3906126022338903</c:v>
                </c:pt>
                <c:pt idx="25">
                  <c:v>2.1134305000305198</c:v>
                </c:pt>
              </c:numCache>
            </c:numRef>
          </c:xVal>
          <c:yVal>
            <c:numRef>
              <c:f>Plot!$C$155:$C$180</c:f>
              <c:numCache>
                <c:formatCode>General</c:formatCode>
                <c:ptCount val="26"/>
                <c:pt idx="0">
                  <c:v>3.86</c:v>
                </c:pt>
                <c:pt idx="1">
                  <c:v>2.13</c:v>
                </c:pt>
                <c:pt idx="2">
                  <c:v>4.4000000000000004</c:v>
                </c:pt>
                <c:pt idx="3">
                  <c:v>4.6500000000000004</c:v>
                </c:pt>
                <c:pt idx="4">
                  <c:v>7.85</c:v>
                </c:pt>
                <c:pt idx="5">
                  <c:v>3.85</c:v>
                </c:pt>
                <c:pt idx="6">
                  <c:v>7.62</c:v>
                </c:pt>
                <c:pt idx="7">
                  <c:v>2.9400000000000004</c:v>
                </c:pt>
                <c:pt idx="8">
                  <c:v>2.98</c:v>
                </c:pt>
                <c:pt idx="9">
                  <c:v>3.63</c:v>
                </c:pt>
                <c:pt idx="10">
                  <c:v>6.31</c:v>
                </c:pt>
                <c:pt idx="11">
                  <c:v>3.5199999999999996</c:v>
                </c:pt>
                <c:pt idx="12">
                  <c:v>6.37</c:v>
                </c:pt>
                <c:pt idx="13">
                  <c:v>4.41</c:v>
                </c:pt>
                <c:pt idx="14">
                  <c:v>11.79</c:v>
                </c:pt>
                <c:pt idx="15">
                  <c:v>18.43</c:v>
                </c:pt>
                <c:pt idx="16">
                  <c:v>16.350000000000001</c:v>
                </c:pt>
                <c:pt idx="17">
                  <c:v>32.379999999999995</c:v>
                </c:pt>
                <c:pt idx="18">
                  <c:v>9.32</c:v>
                </c:pt>
                <c:pt idx="19">
                  <c:v>4.28</c:v>
                </c:pt>
                <c:pt idx="20">
                  <c:v>6.84</c:v>
                </c:pt>
                <c:pt idx="21">
                  <c:v>6.08</c:v>
                </c:pt>
                <c:pt idx="22">
                  <c:v>9.49</c:v>
                </c:pt>
                <c:pt idx="23">
                  <c:v>23.94</c:v>
                </c:pt>
                <c:pt idx="24">
                  <c:v>11.08</c:v>
                </c:pt>
                <c:pt idx="25">
                  <c:v>3.42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F1-47B3-A021-2E332F31BE51}"/>
            </c:ext>
          </c:extLst>
        </c:ser>
        <c:ser>
          <c:idx val="12"/>
          <c:order val="7"/>
          <c:tx>
            <c:v>Ida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 cap="sq">
                <a:solidFill>
                  <a:srgbClr val="FF0000"/>
                </a:solidFill>
                <a:bevel/>
              </a:ln>
              <a:effectLst/>
            </c:spPr>
          </c:marker>
          <c:xVal>
            <c:numRef>
              <c:f>Plot!$B$181:$B$210</c:f>
              <c:numCache>
                <c:formatCode>General</c:formatCode>
                <c:ptCount val="30"/>
                <c:pt idx="0">
                  <c:v>3.1537833213806201</c:v>
                </c:pt>
                <c:pt idx="1">
                  <c:v>3.14753246307373</c:v>
                </c:pt>
                <c:pt idx="2">
                  <c:v>3.91373491287231</c:v>
                </c:pt>
                <c:pt idx="3">
                  <c:v>5.6785311698913601</c:v>
                </c:pt>
                <c:pt idx="4">
                  <c:v>4.2978162765502903</c:v>
                </c:pt>
                <c:pt idx="5">
                  <c:v>8.45715236663818</c:v>
                </c:pt>
                <c:pt idx="6">
                  <c:v>8.2150373458862305</c:v>
                </c:pt>
                <c:pt idx="7">
                  <c:v>3.0861001014709499</c:v>
                </c:pt>
                <c:pt idx="8">
                  <c:v>7.7206749916076696</c:v>
                </c:pt>
                <c:pt idx="9">
                  <c:v>4.8496851921081499</c:v>
                </c:pt>
                <c:pt idx="10">
                  <c:v>2.5884561538696298</c:v>
                </c:pt>
                <c:pt idx="11">
                  <c:v>3.73580694198608</c:v>
                </c:pt>
                <c:pt idx="12">
                  <c:v>5.4548311233520499</c:v>
                </c:pt>
                <c:pt idx="13">
                  <c:v>6.7741074562072798</c:v>
                </c:pt>
                <c:pt idx="14">
                  <c:v>5.5769238471984899</c:v>
                </c:pt>
                <c:pt idx="15">
                  <c:v>10.078198432922401</c:v>
                </c:pt>
                <c:pt idx="16">
                  <c:v>8.0270557403564506</c:v>
                </c:pt>
                <c:pt idx="17">
                  <c:v>12.170327186584499</c:v>
                </c:pt>
                <c:pt idx="18">
                  <c:v>21.897832870483398</c:v>
                </c:pt>
                <c:pt idx="19">
                  <c:v>6.9796085357665998</c:v>
                </c:pt>
                <c:pt idx="20">
                  <c:v>14.065894126892101</c:v>
                </c:pt>
                <c:pt idx="21">
                  <c:v>33.426174163818402</c:v>
                </c:pt>
                <c:pt idx="22">
                  <c:v>11.270515441894499</c:v>
                </c:pt>
                <c:pt idx="23">
                  <c:v>6.0226778984069798</c:v>
                </c:pt>
                <c:pt idx="24">
                  <c:v>6.0143284797668501</c:v>
                </c:pt>
                <c:pt idx="25">
                  <c:v>6.0143284797668501</c:v>
                </c:pt>
                <c:pt idx="26">
                  <c:v>14.709205627441399</c:v>
                </c:pt>
                <c:pt idx="27">
                  <c:v>5.27545166015625</c:v>
                </c:pt>
                <c:pt idx="28">
                  <c:v>14.829709053039601</c:v>
                </c:pt>
                <c:pt idx="29">
                  <c:v>8.5909538269043004</c:v>
                </c:pt>
              </c:numCache>
            </c:numRef>
          </c:xVal>
          <c:yVal>
            <c:numRef>
              <c:f>Plot!$C$181:$C$210</c:f>
              <c:numCache>
                <c:formatCode>General</c:formatCode>
                <c:ptCount val="30"/>
                <c:pt idx="0">
                  <c:v>5.41</c:v>
                </c:pt>
                <c:pt idx="1">
                  <c:v>1.97</c:v>
                </c:pt>
                <c:pt idx="2">
                  <c:v>2.12</c:v>
                </c:pt>
                <c:pt idx="3">
                  <c:v>3.74</c:v>
                </c:pt>
                <c:pt idx="4">
                  <c:v>4.5</c:v>
                </c:pt>
                <c:pt idx="5">
                  <c:v>8.14</c:v>
                </c:pt>
                <c:pt idx="6">
                  <c:v>8.0500000000000007</c:v>
                </c:pt>
                <c:pt idx="7">
                  <c:v>4.24</c:v>
                </c:pt>
                <c:pt idx="8">
                  <c:v>7.58</c:v>
                </c:pt>
                <c:pt idx="9">
                  <c:v>5.82</c:v>
                </c:pt>
                <c:pt idx="10">
                  <c:v>4.07</c:v>
                </c:pt>
                <c:pt idx="11">
                  <c:v>4.99</c:v>
                </c:pt>
                <c:pt idx="12">
                  <c:v>5.19</c:v>
                </c:pt>
                <c:pt idx="13">
                  <c:v>7.24</c:v>
                </c:pt>
                <c:pt idx="14">
                  <c:v>5.2399999999999993</c:v>
                </c:pt>
                <c:pt idx="15">
                  <c:v>8.1900000000000013</c:v>
                </c:pt>
                <c:pt idx="16">
                  <c:v>5.68</c:v>
                </c:pt>
                <c:pt idx="17">
                  <c:v>12.03</c:v>
                </c:pt>
                <c:pt idx="18">
                  <c:v>18.41</c:v>
                </c:pt>
                <c:pt idx="19">
                  <c:v>8.1300000000000008</c:v>
                </c:pt>
                <c:pt idx="20">
                  <c:v>13.24</c:v>
                </c:pt>
                <c:pt idx="21">
                  <c:v>34.180000000000007</c:v>
                </c:pt>
                <c:pt idx="22">
                  <c:v>7.84</c:v>
                </c:pt>
                <c:pt idx="23">
                  <c:v>4.5</c:v>
                </c:pt>
                <c:pt idx="24">
                  <c:v>6.82</c:v>
                </c:pt>
                <c:pt idx="25">
                  <c:v>5.89</c:v>
                </c:pt>
                <c:pt idx="26">
                  <c:v>12.07</c:v>
                </c:pt>
                <c:pt idx="27">
                  <c:v>6.01</c:v>
                </c:pt>
                <c:pt idx="28">
                  <c:v>16.64</c:v>
                </c:pt>
                <c:pt idx="29">
                  <c:v>8.66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F1-47B3-A021-2E332F31BE51}"/>
            </c:ext>
          </c:extLst>
        </c:ser>
        <c:ser>
          <c:idx val="13"/>
          <c:order val="8"/>
          <c:tx>
            <c:v>Imelda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Plot!$B$211:$B$237</c:f>
              <c:numCache>
                <c:formatCode>General</c:formatCode>
                <c:ptCount val="27"/>
                <c:pt idx="0">
                  <c:v>1.2953345775604199</c:v>
                </c:pt>
                <c:pt idx="1">
                  <c:v>1.2812638282775899</c:v>
                </c:pt>
                <c:pt idx="2">
                  <c:v>1.8425482511520399</c:v>
                </c:pt>
                <c:pt idx="3">
                  <c:v>4.1137104034423801</c:v>
                </c:pt>
                <c:pt idx="4">
                  <c:v>2.9043555259704599</c:v>
                </c:pt>
                <c:pt idx="5">
                  <c:v>6.9523983001709002</c:v>
                </c:pt>
                <c:pt idx="6">
                  <c:v>6.8705577850341797</c:v>
                </c:pt>
                <c:pt idx="7">
                  <c:v>1.17037808895111</c:v>
                </c:pt>
                <c:pt idx="8">
                  <c:v>5.86962795257568</c:v>
                </c:pt>
                <c:pt idx="9">
                  <c:v>1.8521910905837999</c:v>
                </c:pt>
                <c:pt idx="10">
                  <c:v>1.76886594295502</c:v>
                </c:pt>
                <c:pt idx="11">
                  <c:v>1.5585350990295399</c:v>
                </c:pt>
                <c:pt idx="12">
                  <c:v>4.9298162460327202</c:v>
                </c:pt>
                <c:pt idx="13">
                  <c:v>1.7800418138503999</c:v>
                </c:pt>
                <c:pt idx="14">
                  <c:v>7.6005153656005904</c:v>
                </c:pt>
                <c:pt idx="15">
                  <c:v>1.8080533742904701</c:v>
                </c:pt>
                <c:pt idx="16">
                  <c:v>10.003471374511699</c:v>
                </c:pt>
                <c:pt idx="17">
                  <c:v>19.330123901367202</c:v>
                </c:pt>
                <c:pt idx="18">
                  <c:v>1.81040298938751</c:v>
                </c:pt>
                <c:pt idx="19">
                  <c:v>9.9020843505859393</c:v>
                </c:pt>
                <c:pt idx="20">
                  <c:v>32.237846374511697</c:v>
                </c:pt>
                <c:pt idx="21">
                  <c:v>1.8097038269043</c:v>
                </c:pt>
                <c:pt idx="22">
                  <c:v>1.8097119331359901</c:v>
                </c:pt>
                <c:pt idx="23">
                  <c:v>1.8097119331359901</c:v>
                </c:pt>
                <c:pt idx="24">
                  <c:v>12.133440017700201</c:v>
                </c:pt>
                <c:pt idx="25">
                  <c:v>1.9080952405929601</c:v>
                </c:pt>
                <c:pt idx="26">
                  <c:v>2.1765878200531001</c:v>
                </c:pt>
              </c:numCache>
            </c:numRef>
          </c:xVal>
          <c:yVal>
            <c:numRef>
              <c:f>Plot!$C$211:$C$237</c:f>
              <c:numCache>
                <c:formatCode>General</c:formatCode>
                <c:ptCount val="27"/>
                <c:pt idx="0">
                  <c:v>2.92</c:v>
                </c:pt>
                <c:pt idx="1">
                  <c:v>2.38</c:v>
                </c:pt>
                <c:pt idx="2">
                  <c:v>2.2000000000000002</c:v>
                </c:pt>
                <c:pt idx="3">
                  <c:v>2.15</c:v>
                </c:pt>
                <c:pt idx="4">
                  <c:v>2.2999999999999998</c:v>
                </c:pt>
                <c:pt idx="5">
                  <c:v>2.2999999999999998</c:v>
                </c:pt>
                <c:pt idx="6">
                  <c:v>3.09</c:v>
                </c:pt>
                <c:pt idx="7">
                  <c:v>2.0699999999999998</c:v>
                </c:pt>
                <c:pt idx="8">
                  <c:v>1.98</c:v>
                </c:pt>
                <c:pt idx="9">
                  <c:v>2.39</c:v>
                </c:pt>
                <c:pt idx="10">
                  <c:v>2.0499999999999998</c:v>
                </c:pt>
                <c:pt idx="11">
                  <c:v>2.15</c:v>
                </c:pt>
                <c:pt idx="12">
                  <c:v>2.66</c:v>
                </c:pt>
                <c:pt idx="13">
                  <c:v>2.17</c:v>
                </c:pt>
                <c:pt idx="14">
                  <c:v>2.25</c:v>
                </c:pt>
                <c:pt idx="15">
                  <c:v>2.2400000000000002</c:v>
                </c:pt>
                <c:pt idx="16">
                  <c:v>6.89</c:v>
                </c:pt>
                <c:pt idx="17">
                  <c:v>16.18</c:v>
                </c:pt>
                <c:pt idx="18">
                  <c:v>2.36</c:v>
                </c:pt>
                <c:pt idx="19">
                  <c:v>12.45</c:v>
                </c:pt>
                <c:pt idx="20">
                  <c:v>31.41</c:v>
                </c:pt>
                <c:pt idx="21">
                  <c:v>2.68</c:v>
                </c:pt>
                <c:pt idx="22">
                  <c:v>2.33</c:v>
                </c:pt>
                <c:pt idx="23">
                  <c:v>2.34</c:v>
                </c:pt>
                <c:pt idx="24">
                  <c:v>8.48</c:v>
                </c:pt>
                <c:pt idx="25">
                  <c:v>2.8200000000000003</c:v>
                </c:pt>
                <c:pt idx="26">
                  <c:v>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F1-47B3-A021-2E332F31BE51}"/>
            </c:ext>
          </c:extLst>
        </c:ser>
        <c:ser>
          <c:idx val="14"/>
          <c:order val="9"/>
          <c:tx>
            <c:v>Isaac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Plot!$B$238:$B$257</c:f>
              <c:numCache>
                <c:formatCode>General</c:formatCode>
                <c:ptCount val="20"/>
                <c:pt idx="0">
                  <c:v>6.54313468933106</c:v>
                </c:pt>
                <c:pt idx="1">
                  <c:v>7.5198392868042001</c:v>
                </c:pt>
                <c:pt idx="2">
                  <c:v>6.8409962654113796</c:v>
                </c:pt>
                <c:pt idx="3">
                  <c:v>10.667182922363301</c:v>
                </c:pt>
                <c:pt idx="4">
                  <c:v>11.549516677856399</c:v>
                </c:pt>
                <c:pt idx="5">
                  <c:v>6.0985293388366699</c:v>
                </c:pt>
                <c:pt idx="6">
                  <c:v>8.5244693756103498</c:v>
                </c:pt>
                <c:pt idx="7">
                  <c:v>8.4517955780029297</c:v>
                </c:pt>
                <c:pt idx="8">
                  <c:v>7.0889930725097701</c:v>
                </c:pt>
                <c:pt idx="9">
                  <c:v>9.1767826080322301</c:v>
                </c:pt>
                <c:pt idx="10">
                  <c:v>9.2490892410278303</c:v>
                </c:pt>
                <c:pt idx="11">
                  <c:v>11.886334419250501</c:v>
                </c:pt>
                <c:pt idx="12">
                  <c:v>12.1582746505737</c:v>
                </c:pt>
                <c:pt idx="13">
                  <c:v>28.2618007659912</c:v>
                </c:pt>
                <c:pt idx="14">
                  <c:v>23.5012321472168</c:v>
                </c:pt>
                <c:pt idx="15">
                  <c:v>35.915756225585902</c:v>
                </c:pt>
                <c:pt idx="16">
                  <c:v>13.4106397628784</c:v>
                </c:pt>
                <c:pt idx="17">
                  <c:v>9.5507850646972692</c:v>
                </c:pt>
                <c:pt idx="18">
                  <c:v>9.5507850646972692</c:v>
                </c:pt>
                <c:pt idx="19">
                  <c:v>20.554725646972699</c:v>
                </c:pt>
              </c:numCache>
            </c:numRef>
          </c:xVal>
          <c:yVal>
            <c:numRef>
              <c:f>Plot!$C$238:$C$257</c:f>
              <c:numCache>
                <c:formatCode>General</c:formatCode>
                <c:ptCount val="20"/>
                <c:pt idx="0">
                  <c:v>3.22</c:v>
                </c:pt>
                <c:pt idx="1">
                  <c:v>5.49</c:v>
                </c:pt>
                <c:pt idx="2">
                  <c:v>6.08</c:v>
                </c:pt>
                <c:pt idx="3">
                  <c:v>9.9499999999999993</c:v>
                </c:pt>
                <c:pt idx="4">
                  <c:v>10.25</c:v>
                </c:pt>
                <c:pt idx="5">
                  <c:v>5.13</c:v>
                </c:pt>
                <c:pt idx="6">
                  <c:v>7.96</c:v>
                </c:pt>
                <c:pt idx="7">
                  <c:v>6.1000000000000005</c:v>
                </c:pt>
                <c:pt idx="8">
                  <c:v>5.96</c:v>
                </c:pt>
                <c:pt idx="9">
                  <c:v>8.9499999999999993</c:v>
                </c:pt>
                <c:pt idx="10">
                  <c:v>7.56</c:v>
                </c:pt>
                <c:pt idx="11">
                  <c:v>10.579999999999998</c:v>
                </c:pt>
                <c:pt idx="12">
                  <c:v>9.48</c:v>
                </c:pt>
                <c:pt idx="13">
                  <c:v>23.91</c:v>
                </c:pt>
                <c:pt idx="14">
                  <c:v>20.23</c:v>
                </c:pt>
                <c:pt idx="15">
                  <c:v>33.200000000000003</c:v>
                </c:pt>
                <c:pt idx="16">
                  <c:v>12.49</c:v>
                </c:pt>
                <c:pt idx="17">
                  <c:v>10.039999999999999</c:v>
                </c:pt>
                <c:pt idx="18">
                  <c:v>7.52</c:v>
                </c:pt>
                <c:pt idx="19">
                  <c:v>16.28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AF1-47B3-A021-2E332F31BE51}"/>
            </c:ext>
          </c:extLst>
        </c:ser>
        <c:ser>
          <c:idx val="15"/>
          <c:order val="10"/>
          <c:tx>
            <c:v>Laura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Plot!$B$258:$B$286</c:f>
              <c:numCache>
                <c:formatCode>General</c:formatCode>
                <c:ptCount val="29"/>
                <c:pt idx="0">
                  <c:v>1.8587521314621001</c:v>
                </c:pt>
                <c:pt idx="1">
                  <c:v>1.84258592128754</c:v>
                </c:pt>
                <c:pt idx="2">
                  <c:v>2.5316567420959499</c:v>
                </c:pt>
                <c:pt idx="3">
                  <c:v>4.90875291824341</c:v>
                </c:pt>
                <c:pt idx="4">
                  <c:v>3.00093650817871</c:v>
                </c:pt>
                <c:pt idx="5">
                  <c:v>6.9199872016906703</c:v>
                </c:pt>
                <c:pt idx="6">
                  <c:v>7.4072809219360396</c:v>
                </c:pt>
                <c:pt idx="7">
                  <c:v>1.6084678173065201</c:v>
                </c:pt>
                <c:pt idx="8">
                  <c:v>6.3637981414794904</c:v>
                </c:pt>
                <c:pt idx="9">
                  <c:v>2.6814935207366899</c:v>
                </c:pt>
                <c:pt idx="10">
                  <c:v>1.55275595188141</c:v>
                </c:pt>
                <c:pt idx="11">
                  <c:v>2.5161905288696298</c:v>
                </c:pt>
                <c:pt idx="12">
                  <c:v>2.56960129737854</c:v>
                </c:pt>
                <c:pt idx="13">
                  <c:v>5.1192474365234402</c:v>
                </c:pt>
                <c:pt idx="14">
                  <c:v>2.6399791240692099</c:v>
                </c:pt>
                <c:pt idx="15">
                  <c:v>8.4910736083984393</c:v>
                </c:pt>
                <c:pt idx="16">
                  <c:v>12.389152526855501</c:v>
                </c:pt>
                <c:pt idx="17">
                  <c:v>22.206932067871101</c:v>
                </c:pt>
                <c:pt idx="18">
                  <c:v>5.6536121368408203</c:v>
                </c:pt>
                <c:pt idx="19">
                  <c:v>14.651165962219199</c:v>
                </c:pt>
                <c:pt idx="20">
                  <c:v>34.199054718017599</c:v>
                </c:pt>
                <c:pt idx="21">
                  <c:v>11.316707611084</c:v>
                </c:pt>
                <c:pt idx="22">
                  <c:v>4.0951595306396502</c:v>
                </c:pt>
                <c:pt idx="23">
                  <c:v>4.0730605125427299</c:v>
                </c:pt>
                <c:pt idx="24">
                  <c:v>4.0730605125427299</c:v>
                </c:pt>
                <c:pt idx="25">
                  <c:v>13.837394714355501</c:v>
                </c:pt>
                <c:pt idx="26">
                  <c:v>23.983903884887699</c:v>
                </c:pt>
                <c:pt idx="27">
                  <c:v>4.2818312644958496</c:v>
                </c:pt>
                <c:pt idx="28">
                  <c:v>3.32182836532593</c:v>
                </c:pt>
              </c:numCache>
            </c:numRef>
          </c:xVal>
          <c:yVal>
            <c:numRef>
              <c:f>Plot!$C$258:$C$286</c:f>
              <c:numCache>
                <c:formatCode>General</c:formatCode>
                <c:ptCount val="29"/>
                <c:pt idx="0">
                  <c:v>3.54</c:v>
                </c:pt>
                <c:pt idx="1">
                  <c:v>1.91</c:v>
                </c:pt>
                <c:pt idx="2">
                  <c:v>1.69</c:v>
                </c:pt>
                <c:pt idx="3">
                  <c:v>1.61</c:v>
                </c:pt>
                <c:pt idx="4">
                  <c:v>1.78</c:v>
                </c:pt>
                <c:pt idx="5">
                  <c:v>1.84</c:v>
                </c:pt>
                <c:pt idx="6">
                  <c:v>3.95</c:v>
                </c:pt>
                <c:pt idx="7">
                  <c:v>2.4900000000000002</c:v>
                </c:pt>
                <c:pt idx="8">
                  <c:v>2.4700000000000002</c:v>
                </c:pt>
                <c:pt idx="9">
                  <c:v>3.41</c:v>
                </c:pt>
                <c:pt idx="10">
                  <c:v>2.46</c:v>
                </c:pt>
                <c:pt idx="11">
                  <c:v>3.07</c:v>
                </c:pt>
                <c:pt idx="12">
                  <c:v>3.2</c:v>
                </c:pt>
                <c:pt idx="13">
                  <c:v>3.81</c:v>
                </c:pt>
                <c:pt idx="14">
                  <c:v>3.2299999999999995</c:v>
                </c:pt>
                <c:pt idx="15">
                  <c:v>3.88</c:v>
                </c:pt>
                <c:pt idx="16">
                  <c:v>10.81</c:v>
                </c:pt>
                <c:pt idx="17">
                  <c:v>18.760000000000002</c:v>
                </c:pt>
                <c:pt idx="18">
                  <c:v>5.67</c:v>
                </c:pt>
                <c:pt idx="19">
                  <c:v>15.66</c:v>
                </c:pt>
                <c:pt idx="20">
                  <c:v>34.269999999999996</c:v>
                </c:pt>
                <c:pt idx="21">
                  <c:v>6.38</c:v>
                </c:pt>
                <c:pt idx="22">
                  <c:v>3.16</c:v>
                </c:pt>
                <c:pt idx="23">
                  <c:v>4.9800000000000004</c:v>
                </c:pt>
                <c:pt idx="24">
                  <c:v>3.6100000000000003</c:v>
                </c:pt>
                <c:pt idx="25">
                  <c:v>9.67</c:v>
                </c:pt>
                <c:pt idx="26">
                  <c:v>25.12</c:v>
                </c:pt>
                <c:pt idx="27">
                  <c:v>5.3800000000000008</c:v>
                </c:pt>
                <c:pt idx="28">
                  <c:v>4.2300000000000004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AF1-47B3-A021-2E332F31BE51}"/>
            </c:ext>
          </c:extLst>
        </c:ser>
        <c:ser>
          <c:idx val="16"/>
          <c:order val="11"/>
          <c:tx>
            <c:v>Lee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noFill/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Plot!$B$287:$B$309</c:f>
              <c:numCache>
                <c:formatCode>General</c:formatCode>
                <c:ptCount val="23"/>
                <c:pt idx="0">
                  <c:v>2.8905079364776598</c:v>
                </c:pt>
                <c:pt idx="1">
                  <c:v>6.2768292427062997</c:v>
                </c:pt>
                <c:pt idx="2">
                  <c:v>5.2084484100341797</c:v>
                </c:pt>
                <c:pt idx="3">
                  <c:v>8.6697673797607404</c:v>
                </c:pt>
                <c:pt idx="4">
                  <c:v>9.4046001434326207</c:v>
                </c:pt>
                <c:pt idx="5">
                  <c:v>2.9108982086181601</c:v>
                </c:pt>
                <c:pt idx="6">
                  <c:v>7.9541120529174796</c:v>
                </c:pt>
                <c:pt idx="7">
                  <c:v>3.66083788871765</c:v>
                </c:pt>
                <c:pt idx="8">
                  <c:v>3.5101194381713898</c:v>
                </c:pt>
                <c:pt idx="9">
                  <c:v>6.39343357086182</c:v>
                </c:pt>
                <c:pt idx="10">
                  <c:v>5.52766990661621</c:v>
                </c:pt>
                <c:pt idx="11">
                  <c:v>10.220248222351101</c:v>
                </c:pt>
                <c:pt idx="12">
                  <c:v>7.5141615867614799</c:v>
                </c:pt>
                <c:pt idx="13">
                  <c:v>15.149151802063001</c:v>
                </c:pt>
                <c:pt idx="14">
                  <c:v>25.0657043457031</c:v>
                </c:pt>
                <c:pt idx="15">
                  <c:v>18.9239387512207</c:v>
                </c:pt>
                <c:pt idx="16">
                  <c:v>35.495693206787102</c:v>
                </c:pt>
                <c:pt idx="17">
                  <c:v>12.308399200439499</c:v>
                </c:pt>
                <c:pt idx="18">
                  <c:v>6.9270071983337402</c:v>
                </c:pt>
                <c:pt idx="19">
                  <c:v>6.9238629341125497</c:v>
                </c:pt>
                <c:pt idx="20">
                  <c:v>6.9238629341125497</c:v>
                </c:pt>
                <c:pt idx="21">
                  <c:v>16.965282440185501</c:v>
                </c:pt>
                <c:pt idx="22">
                  <c:v>29.586986541748001</c:v>
                </c:pt>
              </c:numCache>
            </c:numRef>
          </c:xVal>
          <c:yVal>
            <c:numRef>
              <c:f>Plot!$C$287:$C$309</c:f>
              <c:numCache>
                <c:formatCode>General</c:formatCode>
                <c:ptCount val="23"/>
                <c:pt idx="0">
                  <c:v>2.06</c:v>
                </c:pt>
                <c:pt idx="1">
                  <c:v>2.5099999999999998</c:v>
                </c:pt>
                <c:pt idx="2">
                  <c:v>3.14</c:v>
                </c:pt>
                <c:pt idx="3">
                  <c:v>3.78</c:v>
                </c:pt>
                <c:pt idx="4">
                  <c:v>7.29</c:v>
                </c:pt>
                <c:pt idx="5">
                  <c:v>3.21</c:v>
                </c:pt>
                <c:pt idx="6">
                  <c:v>5.94</c:v>
                </c:pt>
                <c:pt idx="7">
                  <c:v>4.41</c:v>
                </c:pt>
                <c:pt idx="8">
                  <c:v>4.24</c:v>
                </c:pt>
                <c:pt idx="9">
                  <c:v>5.25</c:v>
                </c:pt>
                <c:pt idx="10">
                  <c:v>4.7699999999999996</c:v>
                </c:pt>
                <c:pt idx="11">
                  <c:v>6.85</c:v>
                </c:pt>
                <c:pt idx="12">
                  <c:v>5.8999999999999995</c:v>
                </c:pt>
                <c:pt idx="13">
                  <c:v>14.15</c:v>
                </c:pt>
                <c:pt idx="14">
                  <c:v>22.44</c:v>
                </c:pt>
                <c:pt idx="15">
                  <c:v>16.03</c:v>
                </c:pt>
                <c:pt idx="16">
                  <c:v>35.56</c:v>
                </c:pt>
                <c:pt idx="17">
                  <c:v>11.04</c:v>
                </c:pt>
                <c:pt idx="18">
                  <c:v>3.6500000000000004</c:v>
                </c:pt>
                <c:pt idx="19">
                  <c:v>8.15</c:v>
                </c:pt>
                <c:pt idx="20">
                  <c:v>5.24</c:v>
                </c:pt>
                <c:pt idx="21">
                  <c:v>13.88</c:v>
                </c:pt>
                <c:pt idx="22">
                  <c:v>33.94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AF1-47B3-A021-2E332F31BE51}"/>
            </c:ext>
          </c:extLst>
        </c:ser>
        <c:ser>
          <c:idx val="17"/>
          <c:order val="12"/>
          <c:tx>
            <c:v>Nate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Plot!$B$310:$B$332</c:f>
              <c:numCache>
                <c:formatCode>General</c:formatCode>
                <c:ptCount val="23"/>
                <c:pt idx="0">
                  <c:v>1.56845927238464</c:v>
                </c:pt>
                <c:pt idx="1">
                  <c:v>1.5601729154586801</c:v>
                </c:pt>
                <c:pt idx="2">
                  <c:v>2.3229398727417001</c:v>
                </c:pt>
                <c:pt idx="3">
                  <c:v>2.6613113880157502</c:v>
                </c:pt>
                <c:pt idx="4">
                  <c:v>6.6161475181579599</c:v>
                </c:pt>
                <c:pt idx="5">
                  <c:v>1.4528992176055899</c:v>
                </c:pt>
                <c:pt idx="6">
                  <c:v>4.0383586883544904</c:v>
                </c:pt>
                <c:pt idx="7">
                  <c:v>2.1225728988647501</c:v>
                </c:pt>
                <c:pt idx="8">
                  <c:v>2.04465532302856</c:v>
                </c:pt>
                <c:pt idx="9">
                  <c:v>1.8728837966918901</c:v>
                </c:pt>
                <c:pt idx="10">
                  <c:v>4.5751504898071298</c:v>
                </c:pt>
                <c:pt idx="11">
                  <c:v>2.0597894191741899</c:v>
                </c:pt>
                <c:pt idx="12">
                  <c:v>7.6916785240173304</c:v>
                </c:pt>
                <c:pt idx="13">
                  <c:v>2.1116135120391801</c:v>
                </c:pt>
                <c:pt idx="14">
                  <c:v>10.3044652938843</c:v>
                </c:pt>
                <c:pt idx="15">
                  <c:v>20.255271911621101</c:v>
                </c:pt>
                <c:pt idx="16">
                  <c:v>11.0379428863525</c:v>
                </c:pt>
                <c:pt idx="17">
                  <c:v>32.603191375732401</c:v>
                </c:pt>
                <c:pt idx="18">
                  <c:v>2.3176739215850799</c:v>
                </c:pt>
                <c:pt idx="19">
                  <c:v>2.3176932334899898</c:v>
                </c:pt>
                <c:pt idx="20">
                  <c:v>2.3176932334899898</c:v>
                </c:pt>
                <c:pt idx="21">
                  <c:v>2.2102460861206099</c:v>
                </c:pt>
                <c:pt idx="22">
                  <c:v>2.91533327102661</c:v>
                </c:pt>
              </c:numCache>
            </c:numRef>
          </c:xVal>
          <c:yVal>
            <c:numRef>
              <c:f>Plot!$C$310:$C$332</c:f>
              <c:numCache>
                <c:formatCode>General</c:formatCode>
                <c:ptCount val="23"/>
                <c:pt idx="0">
                  <c:v>3.49</c:v>
                </c:pt>
                <c:pt idx="1">
                  <c:v>2.44</c:v>
                </c:pt>
                <c:pt idx="2">
                  <c:v>2.54</c:v>
                </c:pt>
                <c:pt idx="3">
                  <c:v>2.58</c:v>
                </c:pt>
                <c:pt idx="4">
                  <c:v>2.96</c:v>
                </c:pt>
                <c:pt idx="5">
                  <c:v>2.8</c:v>
                </c:pt>
                <c:pt idx="6">
                  <c:v>2.77</c:v>
                </c:pt>
                <c:pt idx="7">
                  <c:v>3.08</c:v>
                </c:pt>
                <c:pt idx="8">
                  <c:v>2.78</c:v>
                </c:pt>
                <c:pt idx="9">
                  <c:v>2.78</c:v>
                </c:pt>
                <c:pt idx="10">
                  <c:v>3.27</c:v>
                </c:pt>
                <c:pt idx="11">
                  <c:v>2.8</c:v>
                </c:pt>
                <c:pt idx="12">
                  <c:v>2.79</c:v>
                </c:pt>
                <c:pt idx="13">
                  <c:v>3</c:v>
                </c:pt>
                <c:pt idx="14">
                  <c:v>6.94</c:v>
                </c:pt>
                <c:pt idx="15">
                  <c:v>15.95</c:v>
                </c:pt>
                <c:pt idx="16">
                  <c:v>10.62</c:v>
                </c:pt>
                <c:pt idx="17">
                  <c:v>31.220000000000002</c:v>
                </c:pt>
                <c:pt idx="18">
                  <c:v>2.59</c:v>
                </c:pt>
                <c:pt idx="19">
                  <c:v>2.94</c:v>
                </c:pt>
                <c:pt idx="20">
                  <c:v>3.07</c:v>
                </c:pt>
                <c:pt idx="21">
                  <c:v>3.6799999999999997</c:v>
                </c:pt>
                <c:pt idx="22">
                  <c:v>3.9099999999999997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AF1-47B3-A021-2E332F31BE51}"/>
            </c:ext>
          </c:extLst>
        </c:ser>
        <c:ser>
          <c:idx val="18"/>
          <c:order val="13"/>
          <c:tx>
            <c:v>Olga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Plot!$B$333:$B$361</c:f>
              <c:numCache>
                <c:formatCode>General</c:formatCode>
                <c:ptCount val="29"/>
                <c:pt idx="0">
                  <c:v>1.48227643966675</c:v>
                </c:pt>
                <c:pt idx="1">
                  <c:v>1.49347949028015</c:v>
                </c:pt>
                <c:pt idx="2">
                  <c:v>2.91453289985657</c:v>
                </c:pt>
                <c:pt idx="3">
                  <c:v>5.6254501342773402</c:v>
                </c:pt>
                <c:pt idx="4">
                  <c:v>3.74091625213623</c:v>
                </c:pt>
                <c:pt idx="5">
                  <c:v>7.9284815788268999</c:v>
                </c:pt>
                <c:pt idx="6">
                  <c:v>7.8859295845031703</c:v>
                </c:pt>
                <c:pt idx="7">
                  <c:v>1.9899208545684799</c:v>
                </c:pt>
                <c:pt idx="8">
                  <c:v>7.6049075126648003</c:v>
                </c:pt>
                <c:pt idx="9">
                  <c:v>1.5725284814834599</c:v>
                </c:pt>
                <c:pt idx="10">
                  <c:v>1.5771850347518901</c:v>
                </c:pt>
                <c:pt idx="11">
                  <c:v>2.0701386928558398</c:v>
                </c:pt>
                <c:pt idx="12">
                  <c:v>5.7497696876525897</c:v>
                </c:pt>
                <c:pt idx="13">
                  <c:v>1.6968082189559901</c:v>
                </c:pt>
                <c:pt idx="14">
                  <c:v>9.0180139541625994</c:v>
                </c:pt>
                <c:pt idx="15">
                  <c:v>2.3154628276825</c:v>
                </c:pt>
                <c:pt idx="16">
                  <c:v>11.4971218109131</c:v>
                </c:pt>
                <c:pt idx="17">
                  <c:v>20.101802825927699</c:v>
                </c:pt>
                <c:pt idx="18">
                  <c:v>4.1638946533203098</c:v>
                </c:pt>
                <c:pt idx="19">
                  <c:v>12.1510019302368</c:v>
                </c:pt>
                <c:pt idx="20">
                  <c:v>33.029167175292997</c:v>
                </c:pt>
                <c:pt idx="21">
                  <c:v>9.5702066421508807</c:v>
                </c:pt>
                <c:pt idx="22">
                  <c:v>3.4525215625762899</c:v>
                </c:pt>
                <c:pt idx="23">
                  <c:v>3.4494559764862101</c:v>
                </c:pt>
                <c:pt idx="24">
                  <c:v>3.4494559764862101</c:v>
                </c:pt>
                <c:pt idx="25">
                  <c:v>13.0069427490234</c:v>
                </c:pt>
                <c:pt idx="26">
                  <c:v>22.483201980590799</c:v>
                </c:pt>
                <c:pt idx="27">
                  <c:v>9.4513435363769496</c:v>
                </c:pt>
                <c:pt idx="28">
                  <c:v>2.5710477828979501</c:v>
                </c:pt>
              </c:numCache>
            </c:numRef>
          </c:xVal>
          <c:yVal>
            <c:numRef>
              <c:f>Plot!$C$333:$C$361</c:f>
              <c:numCache>
                <c:formatCode>General</c:formatCode>
                <c:ptCount val="29"/>
                <c:pt idx="0">
                  <c:v>3.8</c:v>
                </c:pt>
                <c:pt idx="1">
                  <c:v>1.89</c:v>
                </c:pt>
                <c:pt idx="2">
                  <c:v>1.88</c:v>
                </c:pt>
                <c:pt idx="3">
                  <c:v>2.94</c:v>
                </c:pt>
                <c:pt idx="4">
                  <c:v>3.24</c:v>
                </c:pt>
                <c:pt idx="5">
                  <c:v>6</c:v>
                </c:pt>
                <c:pt idx="6">
                  <c:v>6.21</c:v>
                </c:pt>
                <c:pt idx="7">
                  <c:v>3.07</c:v>
                </c:pt>
                <c:pt idx="8">
                  <c:v>4.82</c:v>
                </c:pt>
                <c:pt idx="9">
                  <c:v>2.6900000000000004</c:v>
                </c:pt>
                <c:pt idx="10">
                  <c:v>2.38</c:v>
                </c:pt>
                <c:pt idx="11">
                  <c:v>2.89</c:v>
                </c:pt>
                <c:pt idx="12">
                  <c:v>5.07</c:v>
                </c:pt>
                <c:pt idx="13">
                  <c:v>2.67</c:v>
                </c:pt>
                <c:pt idx="14">
                  <c:v>5.6</c:v>
                </c:pt>
                <c:pt idx="15">
                  <c:v>3.2399999999999993</c:v>
                </c:pt>
                <c:pt idx="16">
                  <c:v>9.36</c:v>
                </c:pt>
                <c:pt idx="17">
                  <c:v>16.97</c:v>
                </c:pt>
                <c:pt idx="18">
                  <c:v>5.27</c:v>
                </c:pt>
                <c:pt idx="19">
                  <c:v>12.48</c:v>
                </c:pt>
                <c:pt idx="20">
                  <c:v>31.16</c:v>
                </c:pt>
                <c:pt idx="21">
                  <c:v>7.2</c:v>
                </c:pt>
                <c:pt idx="22">
                  <c:v>4.03</c:v>
                </c:pt>
                <c:pt idx="23">
                  <c:v>4.95</c:v>
                </c:pt>
                <c:pt idx="24">
                  <c:v>4.58</c:v>
                </c:pt>
                <c:pt idx="25">
                  <c:v>9.4499999999999993</c:v>
                </c:pt>
                <c:pt idx="26">
                  <c:v>22.26</c:v>
                </c:pt>
                <c:pt idx="27">
                  <c:v>12.15</c:v>
                </c:pt>
                <c:pt idx="28">
                  <c:v>4.12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AF1-47B3-A021-2E332F31BE51}"/>
            </c:ext>
          </c:extLst>
        </c:ser>
        <c:ser>
          <c:idx val="19"/>
          <c:order val="14"/>
          <c:tx>
            <c:v>Sally and Beta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Plot!$B$362:$B$389</c:f>
              <c:numCache>
                <c:formatCode>General</c:formatCode>
                <c:ptCount val="28"/>
                <c:pt idx="0">
                  <c:v>2.88178634643555</c:v>
                </c:pt>
                <c:pt idx="1">
                  <c:v>2.8721008300781299</c:v>
                </c:pt>
                <c:pt idx="2">
                  <c:v>2.51152896881104</c:v>
                </c:pt>
                <c:pt idx="3">
                  <c:v>3.9944009780883798</c:v>
                </c:pt>
                <c:pt idx="4">
                  <c:v>2.6888508796691899</c:v>
                </c:pt>
                <c:pt idx="5">
                  <c:v>6.8900947570800799</c:v>
                </c:pt>
                <c:pt idx="6">
                  <c:v>6.9202075004577601</c:v>
                </c:pt>
                <c:pt idx="7">
                  <c:v>2.74417304992676</c:v>
                </c:pt>
                <c:pt idx="8">
                  <c:v>6.17327833175659</c:v>
                </c:pt>
                <c:pt idx="9">
                  <c:v>3.46857810020447</c:v>
                </c:pt>
                <c:pt idx="10">
                  <c:v>2.3596782684326199</c:v>
                </c:pt>
                <c:pt idx="11">
                  <c:v>3.2574110031127899</c:v>
                </c:pt>
                <c:pt idx="12">
                  <c:v>3.2625987529754599</c:v>
                </c:pt>
                <c:pt idx="13">
                  <c:v>4.9321317672729501</c:v>
                </c:pt>
                <c:pt idx="14">
                  <c:v>3.2767372131347701</c:v>
                </c:pt>
                <c:pt idx="15">
                  <c:v>7.8765211105346697</c:v>
                </c:pt>
                <c:pt idx="16">
                  <c:v>3.4100883007049601</c:v>
                </c:pt>
                <c:pt idx="17">
                  <c:v>11.2758598327637</c:v>
                </c:pt>
                <c:pt idx="18">
                  <c:v>20.707105636596701</c:v>
                </c:pt>
                <c:pt idx="19">
                  <c:v>4.19998979568481</c:v>
                </c:pt>
                <c:pt idx="20">
                  <c:v>12.203774452209499</c:v>
                </c:pt>
                <c:pt idx="21">
                  <c:v>32.997356414794901</c:v>
                </c:pt>
                <c:pt idx="22">
                  <c:v>10.8149366378784</c:v>
                </c:pt>
                <c:pt idx="23">
                  <c:v>3.6535696983337398</c:v>
                </c:pt>
                <c:pt idx="24">
                  <c:v>3.6473658084869398</c:v>
                </c:pt>
                <c:pt idx="25">
                  <c:v>3.6473658084869398</c:v>
                </c:pt>
                <c:pt idx="26">
                  <c:v>3.67012643814087</c:v>
                </c:pt>
                <c:pt idx="27">
                  <c:v>3.9009268283843999</c:v>
                </c:pt>
              </c:numCache>
            </c:numRef>
          </c:xVal>
          <c:yVal>
            <c:numRef>
              <c:f>Plot!$C$362:$C$389</c:f>
              <c:numCache>
                <c:formatCode>General</c:formatCode>
                <c:ptCount val="28"/>
                <c:pt idx="0">
                  <c:v>4.09</c:v>
                </c:pt>
                <c:pt idx="1">
                  <c:v>2.12</c:v>
                </c:pt>
                <c:pt idx="2">
                  <c:v>1.91</c:v>
                </c:pt>
                <c:pt idx="3">
                  <c:v>1.82</c:v>
                </c:pt>
                <c:pt idx="4">
                  <c:v>1.96</c:v>
                </c:pt>
                <c:pt idx="5">
                  <c:v>2.0299999999999998</c:v>
                </c:pt>
                <c:pt idx="6">
                  <c:v>3.23</c:v>
                </c:pt>
                <c:pt idx="7">
                  <c:v>3.08</c:v>
                </c:pt>
                <c:pt idx="8">
                  <c:v>2.85</c:v>
                </c:pt>
                <c:pt idx="9">
                  <c:v>3.91</c:v>
                </c:pt>
                <c:pt idx="10">
                  <c:v>3.12</c:v>
                </c:pt>
                <c:pt idx="11">
                  <c:v>3.54</c:v>
                </c:pt>
                <c:pt idx="12">
                  <c:v>3.64</c:v>
                </c:pt>
                <c:pt idx="13">
                  <c:v>4.16</c:v>
                </c:pt>
                <c:pt idx="14">
                  <c:v>3.63</c:v>
                </c:pt>
                <c:pt idx="15">
                  <c:v>3.61</c:v>
                </c:pt>
                <c:pt idx="16">
                  <c:v>3.7199999999999998</c:v>
                </c:pt>
                <c:pt idx="17">
                  <c:v>7.1</c:v>
                </c:pt>
                <c:pt idx="18">
                  <c:v>16.899999999999999</c:v>
                </c:pt>
                <c:pt idx="19">
                  <c:v>4.1100000000000003</c:v>
                </c:pt>
                <c:pt idx="20">
                  <c:v>10.43</c:v>
                </c:pt>
                <c:pt idx="21">
                  <c:v>30.84</c:v>
                </c:pt>
                <c:pt idx="22">
                  <c:v>4.74</c:v>
                </c:pt>
                <c:pt idx="23">
                  <c:v>2.7</c:v>
                </c:pt>
                <c:pt idx="24">
                  <c:v>3.96</c:v>
                </c:pt>
                <c:pt idx="25">
                  <c:v>2.89</c:v>
                </c:pt>
                <c:pt idx="26">
                  <c:v>4.3899999999999997</c:v>
                </c:pt>
                <c:pt idx="27">
                  <c:v>4.3600000000000003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AF1-47B3-A021-2E332F31BE51}"/>
            </c:ext>
          </c:extLst>
        </c:ser>
        <c:ser>
          <c:idx val="20"/>
          <c:order val="15"/>
          <c:tx>
            <c:v>Zeta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noFill/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Plot!$B$390:$B$418</c:f>
              <c:numCache>
                <c:formatCode>General</c:formatCode>
                <c:ptCount val="29"/>
                <c:pt idx="0">
                  <c:v>1.25166893005371</c:v>
                </c:pt>
                <c:pt idx="1">
                  <c:v>1.23880898952484</c:v>
                </c:pt>
                <c:pt idx="2">
                  <c:v>2.3814320564270002</c:v>
                </c:pt>
                <c:pt idx="3">
                  <c:v>4.8460016250610396</c:v>
                </c:pt>
                <c:pt idx="4">
                  <c:v>3.0253353118896502</c:v>
                </c:pt>
                <c:pt idx="5">
                  <c:v>6.9653916358947798</c:v>
                </c:pt>
                <c:pt idx="6">
                  <c:v>7.2943768501281703</c:v>
                </c:pt>
                <c:pt idx="7">
                  <c:v>1.3411569595336901</c:v>
                </c:pt>
                <c:pt idx="8">
                  <c:v>6.6315684318542498</c:v>
                </c:pt>
                <c:pt idx="9">
                  <c:v>1.7189974784851101</c:v>
                </c:pt>
                <c:pt idx="10">
                  <c:v>1.2768319845199601</c:v>
                </c:pt>
                <c:pt idx="11">
                  <c:v>1.6521128416061399</c:v>
                </c:pt>
                <c:pt idx="12">
                  <c:v>1.6122235059738199</c:v>
                </c:pt>
                <c:pt idx="13">
                  <c:v>5.0833597183227504</c:v>
                </c:pt>
                <c:pt idx="14">
                  <c:v>1.73391914367676</c:v>
                </c:pt>
                <c:pt idx="15">
                  <c:v>8.0999031066894496</c:v>
                </c:pt>
                <c:pt idx="16">
                  <c:v>1.9118264913559</c:v>
                </c:pt>
                <c:pt idx="17">
                  <c:v>10.8453168869019</c:v>
                </c:pt>
                <c:pt idx="18">
                  <c:v>20.6470947265625</c:v>
                </c:pt>
                <c:pt idx="19">
                  <c:v>2.52888154983521</c:v>
                </c:pt>
                <c:pt idx="20">
                  <c:v>11.6429347991943</c:v>
                </c:pt>
                <c:pt idx="21">
                  <c:v>32.638065338134801</c:v>
                </c:pt>
                <c:pt idx="22">
                  <c:v>10.251777648925801</c:v>
                </c:pt>
                <c:pt idx="23">
                  <c:v>2.3104209899902299</c:v>
                </c:pt>
                <c:pt idx="24">
                  <c:v>2.3104405403137198</c:v>
                </c:pt>
                <c:pt idx="25">
                  <c:v>2.3104405403137198</c:v>
                </c:pt>
                <c:pt idx="26">
                  <c:v>21.5687770843506</c:v>
                </c:pt>
                <c:pt idx="27">
                  <c:v>3.10292649269104</c:v>
                </c:pt>
                <c:pt idx="28">
                  <c:v>2.25711274147034</c:v>
                </c:pt>
              </c:numCache>
            </c:numRef>
          </c:xVal>
          <c:yVal>
            <c:numRef>
              <c:f>Plot!$C$390:$C$418</c:f>
              <c:numCache>
                <c:formatCode>General</c:formatCode>
                <c:ptCount val="29"/>
                <c:pt idx="0">
                  <c:v>3.55</c:v>
                </c:pt>
                <c:pt idx="1">
                  <c:v>2.4900000000000002</c:v>
                </c:pt>
                <c:pt idx="2">
                  <c:v>2.5</c:v>
                </c:pt>
                <c:pt idx="3">
                  <c:v>3.77</c:v>
                </c:pt>
                <c:pt idx="4">
                  <c:v>2.84</c:v>
                </c:pt>
                <c:pt idx="5">
                  <c:v>3.11</c:v>
                </c:pt>
                <c:pt idx="6">
                  <c:v>4.4000000000000004</c:v>
                </c:pt>
                <c:pt idx="7">
                  <c:v>2.54</c:v>
                </c:pt>
                <c:pt idx="8">
                  <c:v>2.89</c:v>
                </c:pt>
                <c:pt idx="9">
                  <c:v>2.33</c:v>
                </c:pt>
                <c:pt idx="10">
                  <c:v>2.1</c:v>
                </c:pt>
                <c:pt idx="11">
                  <c:v>2.0699999999999998</c:v>
                </c:pt>
                <c:pt idx="12">
                  <c:v>2.25</c:v>
                </c:pt>
                <c:pt idx="13">
                  <c:v>2.88</c:v>
                </c:pt>
                <c:pt idx="14">
                  <c:v>2.2400000000000002</c:v>
                </c:pt>
                <c:pt idx="15">
                  <c:v>3.48</c:v>
                </c:pt>
                <c:pt idx="16">
                  <c:v>2.6100000000000003</c:v>
                </c:pt>
                <c:pt idx="17">
                  <c:v>10.7</c:v>
                </c:pt>
                <c:pt idx="18">
                  <c:v>19.760000000000002</c:v>
                </c:pt>
                <c:pt idx="19">
                  <c:v>4.18</c:v>
                </c:pt>
                <c:pt idx="20">
                  <c:v>14.76</c:v>
                </c:pt>
                <c:pt idx="21">
                  <c:v>32.950000000000003</c:v>
                </c:pt>
                <c:pt idx="22">
                  <c:v>4.1399999999999997</c:v>
                </c:pt>
                <c:pt idx="23">
                  <c:v>3.26</c:v>
                </c:pt>
                <c:pt idx="24">
                  <c:v>3.34</c:v>
                </c:pt>
                <c:pt idx="25">
                  <c:v>3.32</c:v>
                </c:pt>
                <c:pt idx="26">
                  <c:v>26.22</c:v>
                </c:pt>
                <c:pt idx="27">
                  <c:v>5.03</c:v>
                </c:pt>
                <c:pt idx="28">
                  <c:v>2.4499999999999997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AF1-47B3-A021-2E332F31BE51}"/>
            </c:ext>
          </c:extLst>
        </c:ser>
        <c:ser>
          <c:idx val="21"/>
          <c:order val="16"/>
          <c:tx>
            <c:v>Gustav HWMs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Combined!$D$419:$D$437</c:f>
              <c:numCache>
                <c:formatCode>0.00</c:formatCode>
                <c:ptCount val="19"/>
                <c:pt idx="0">
                  <c:v>3.7233855724334699</c:v>
                </c:pt>
                <c:pt idx="1">
                  <c:v>5.72916555404663</c:v>
                </c:pt>
                <c:pt idx="2">
                  <c:v>5.0082039833068901</c:v>
                </c:pt>
                <c:pt idx="3">
                  <c:v>4.4980382919311497</c:v>
                </c:pt>
                <c:pt idx="4">
                  <c:v>3.95935106277466</c:v>
                </c:pt>
                <c:pt idx="5">
                  <c:v>5.4652352333068901</c:v>
                </c:pt>
                <c:pt idx="6">
                  <c:v>4.2184967994689897</c:v>
                </c:pt>
                <c:pt idx="7">
                  <c:v>3.7128424644470202</c:v>
                </c:pt>
                <c:pt idx="8">
                  <c:v>3.67661809921265</c:v>
                </c:pt>
                <c:pt idx="9">
                  <c:v>3.51528763771057</c:v>
                </c:pt>
                <c:pt idx="10">
                  <c:v>3.7748730182647701</c:v>
                </c:pt>
                <c:pt idx="11">
                  <c:v>4.0807862281799299</c:v>
                </c:pt>
                <c:pt idx="12">
                  <c:v>3.3628726005554199</c:v>
                </c:pt>
                <c:pt idx="13">
                  <c:v>6.0650968551635698</c:v>
                </c:pt>
                <c:pt idx="14">
                  <c:v>4.0460782051086399</c:v>
                </c:pt>
                <c:pt idx="15">
                  <c:v>2.98954105377197</c:v>
                </c:pt>
                <c:pt idx="16">
                  <c:v>3.56606197357178</c:v>
                </c:pt>
                <c:pt idx="17">
                  <c:v>3.2850718498229998</c:v>
                </c:pt>
                <c:pt idx="18">
                  <c:v>6.0540742874145499</c:v>
                </c:pt>
              </c:numCache>
            </c:numRef>
          </c:xVal>
          <c:yVal>
            <c:numRef>
              <c:f>Combined!$E$419:$E$437</c:f>
              <c:numCache>
                <c:formatCode>0.00</c:formatCode>
                <c:ptCount val="19"/>
                <c:pt idx="0">
                  <c:v>3.6745406824146984</c:v>
                </c:pt>
                <c:pt idx="1">
                  <c:v>5.7414698162729652</c:v>
                </c:pt>
                <c:pt idx="2">
                  <c:v>5.6430446194225716</c:v>
                </c:pt>
                <c:pt idx="3">
                  <c:v>4.4947506561679793</c:v>
                </c:pt>
                <c:pt idx="4">
                  <c:v>3.4448818897637796</c:v>
                </c:pt>
                <c:pt idx="5">
                  <c:v>5.3477690288713902</c:v>
                </c:pt>
                <c:pt idx="6">
                  <c:v>4.363517060367454</c:v>
                </c:pt>
                <c:pt idx="7">
                  <c:v>2.5918635170603674</c:v>
                </c:pt>
                <c:pt idx="8">
                  <c:v>3.8385826771653537</c:v>
                </c:pt>
                <c:pt idx="9">
                  <c:v>2.1325459317585302</c:v>
                </c:pt>
                <c:pt idx="10">
                  <c:v>2.7887139107611545</c:v>
                </c:pt>
                <c:pt idx="11">
                  <c:v>3.969816272965879</c:v>
                </c:pt>
                <c:pt idx="12">
                  <c:v>2.8543307086614171</c:v>
                </c:pt>
                <c:pt idx="13">
                  <c:v>5.3805774278215219</c:v>
                </c:pt>
                <c:pt idx="14">
                  <c:v>4.0026246719160099</c:v>
                </c:pt>
                <c:pt idx="15">
                  <c:v>2.001312335958005</c:v>
                </c:pt>
                <c:pt idx="16">
                  <c:v>2.9527559055118111</c:v>
                </c:pt>
                <c:pt idx="17">
                  <c:v>3.6417322834645671</c:v>
                </c:pt>
                <c:pt idx="18">
                  <c:v>5.577427821522309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8AF1-47B3-A021-2E332F31BE51}"/>
            </c:ext>
          </c:extLst>
        </c:ser>
        <c:ser>
          <c:idx val="22"/>
          <c:order val="17"/>
          <c:tx>
            <c:v>Isaac HWMs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chemeClr val="accent6"/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Combined!$D$438:$D$463</c:f>
              <c:numCache>
                <c:formatCode>0.00</c:formatCode>
                <c:ptCount val="26"/>
                <c:pt idx="0">
                  <c:v>9.6872138977050799</c:v>
                </c:pt>
                <c:pt idx="1">
                  <c:v>9.6946735382080096</c:v>
                </c:pt>
                <c:pt idx="2">
                  <c:v>6.6786556243896502</c:v>
                </c:pt>
                <c:pt idx="3">
                  <c:v>6.67747259140015</c:v>
                </c:pt>
                <c:pt idx="4">
                  <c:v>5.9534277915954599</c:v>
                </c:pt>
                <c:pt idx="5">
                  <c:v>9.7008914947509801</c:v>
                </c:pt>
                <c:pt idx="6">
                  <c:v>6.2986431121826199</c:v>
                </c:pt>
                <c:pt idx="7">
                  <c:v>6.79776906967163</c:v>
                </c:pt>
                <c:pt idx="8">
                  <c:v>7.3585228919982901</c:v>
                </c:pt>
                <c:pt idx="9">
                  <c:v>7.6473846435546902</c:v>
                </c:pt>
                <c:pt idx="10">
                  <c:v>7.3640232086181596</c:v>
                </c:pt>
                <c:pt idx="11">
                  <c:v>7.8464527130126998</c:v>
                </c:pt>
                <c:pt idx="12">
                  <c:v>9.5174188613891602</c:v>
                </c:pt>
                <c:pt idx="13">
                  <c:v>7.9346795082092303</c:v>
                </c:pt>
                <c:pt idx="14">
                  <c:v>8.9559440612793004</c:v>
                </c:pt>
                <c:pt idx="15">
                  <c:v>9.66754150390625</c:v>
                </c:pt>
                <c:pt idx="16">
                  <c:v>9.6456165313720703</c:v>
                </c:pt>
                <c:pt idx="17">
                  <c:v>8.9654216766357404</c:v>
                </c:pt>
                <c:pt idx="18">
                  <c:v>8.0004119873046893</c:v>
                </c:pt>
                <c:pt idx="19">
                  <c:v>8.0004119873046893</c:v>
                </c:pt>
                <c:pt idx="20">
                  <c:v>8.3579778671264702</c:v>
                </c:pt>
                <c:pt idx="21">
                  <c:v>8.1165866851806605</c:v>
                </c:pt>
                <c:pt idx="22">
                  <c:v>10.573305130004901</c:v>
                </c:pt>
                <c:pt idx="23">
                  <c:v>10.674643516540501</c:v>
                </c:pt>
                <c:pt idx="24">
                  <c:v>10.711098670959499</c:v>
                </c:pt>
                <c:pt idx="25">
                  <c:v>10.729395866394</c:v>
                </c:pt>
              </c:numCache>
            </c:numRef>
          </c:xVal>
          <c:yVal>
            <c:numRef>
              <c:f>Combined!$E$438:$E$463</c:f>
              <c:numCache>
                <c:formatCode>0.00</c:formatCode>
                <c:ptCount val="26"/>
                <c:pt idx="0">
                  <c:v>10.14</c:v>
                </c:pt>
                <c:pt idx="1">
                  <c:v>8.39</c:v>
                </c:pt>
                <c:pt idx="2">
                  <c:v>6.45</c:v>
                </c:pt>
                <c:pt idx="3">
                  <c:v>6.53</c:v>
                </c:pt>
                <c:pt idx="4">
                  <c:v>6.95</c:v>
                </c:pt>
                <c:pt idx="5">
                  <c:v>7.71</c:v>
                </c:pt>
                <c:pt idx="6">
                  <c:v>5.64</c:v>
                </c:pt>
                <c:pt idx="7">
                  <c:v>5.41</c:v>
                </c:pt>
                <c:pt idx="8">
                  <c:v>4.8899999999999997</c:v>
                </c:pt>
                <c:pt idx="9">
                  <c:v>5.6</c:v>
                </c:pt>
                <c:pt idx="10">
                  <c:v>3.63</c:v>
                </c:pt>
                <c:pt idx="11">
                  <c:v>5.56</c:v>
                </c:pt>
                <c:pt idx="12">
                  <c:v>7.41</c:v>
                </c:pt>
                <c:pt idx="13">
                  <c:v>5.45</c:v>
                </c:pt>
                <c:pt idx="14">
                  <c:v>6.96</c:v>
                </c:pt>
                <c:pt idx="15">
                  <c:v>5.75</c:v>
                </c:pt>
                <c:pt idx="16">
                  <c:v>7.18</c:v>
                </c:pt>
                <c:pt idx="17">
                  <c:v>6</c:v>
                </c:pt>
                <c:pt idx="18">
                  <c:v>5.08</c:v>
                </c:pt>
                <c:pt idx="19">
                  <c:v>5.52</c:v>
                </c:pt>
                <c:pt idx="20">
                  <c:v>6.44</c:v>
                </c:pt>
                <c:pt idx="21">
                  <c:v>6.18</c:v>
                </c:pt>
                <c:pt idx="22">
                  <c:v>6.36</c:v>
                </c:pt>
                <c:pt idx="23">
                  <c:v>8.66</c:v>
                </c:pt>
                <c:pt idx="24">
                  <c:v>8.77</c:v>
                </c:pt>
                <c:pt idx="25">
                  <c:v>8.8699999999999992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8AF1-47B3-A021-2E332F31BE51}"/>
            </c:ext>
          </c:extLst>
        </c:ser>
        <c:ser>
          <c:idx val="23"/>
          <c:order val="18"/>
          <c:tx>
            <c:v>Katrina HWMs</c:v>
          </c:tx>
          <c:spPr>
            <a:ln w="25400" cap="rnd">
              <a:noFill/>
              <a:round/>
            </a:ln>
            <a:effectLst/>
          </c:spPr>
          <c:marker>
            <c:symbol val="x"/>
            <c:size val="5"/>
            <c:spPr>
              <a:solidFill>
                <a:srgbClr val="7030A0"/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Combined!$D$464:$D$495</c:f>
              <c:numCache>
                <c:formatCode>0.00</c:formatCode>
                <c:ptCount val="32"/>
                <c:pt idx="0">
                  <c:v>5.9937381744384801</c:v>
                </c:pt>
                <c:pt idx="1">
                  <c:v>7.00988864898682</c:v>
                </c:pt>
                <c:pt idx="2">
                  <c:v>4.24137687683106</c:v>
                </c:pt>
                <c:pt idx="3">
                  <c:v>7.00988864898682</c:v>
                </c:pt>
                <c:pt idx="4">
                  <c:v>6.9594659805297896</c:v>
                </c:pt>
                <c:pt idx="5">
                  <c:v>7.2202048301696804</c:v>
                </c:pt>
                <c:pt idx="6">
                  <c:v>3.3189945220947301</c:v>
                </c:pt>
                <c:pt idx="7">
                  <c:v>3.30728340148926</c:v>
                </c:pt>
                <c:pt idx="8">
                  <c:v>3.9617507457733199</c:v>
                </c:pt>
                <c:pt idx="9">
                  <c:v>7.0028038024902299</c:v>
                </c:pt>
                <c:pt idx="10">
                  <c:v>7.0861783027648899</c:v>
                </c:pt>
                <c:pt idx="11">
                  <c:v>7.1792311668395996</c:v>
                </c:pt>
                <c:pt idx="12">
                  <c:v>7.0784811973571804</c:v>
                </c:pt>
                <c:pt idx="13">
                  <c:v>3.3189945220947301</c:v>
                </c:pt>
                <c:pt idx="14">
                  <c:v>5.0759534835815403</c:v>
                </c:pt>
                <c:pt idx="15">
                  <c:v>6.6534771919250497</c:v>
                </c:pt>
                <c:pt idx="16">
                  <c:v>6.5323867797851598</c:v>
                </c:pt>
                <c:pt idx="17">
                  <c:v>7.2512969970703098</c:v>
                </c:pt>
                <c:pt idx="18">
                  <c:v>7.0861783027648899</c:v>
                </c:pt>
                <c:pt idx="19">
                  <c:v>7.4058141708373997</c:v>
                </c:pt>
                <c:pt idx="20">
                  <c:v>6.9931893348693901</c:v>
                </c:pt>
                <c:pt idx="21">
                  <c:v>7.18878126144409</c:v>
                </c:pt>
                <c:pt idx="22">
                  <c:v>7.2060003280639702</c:v>
                </c:pt>
                <c:pt idx="23">
                  <c:v>7.1792311668395996</c:v>
                </c:pt>
                <c:pt idx="24">
                  <c:v>7.1906485557556197</c:v>
                </c:pt>
                <c:pt idx="25">
                  <c:v>7.1651611328125</c:v>
                </c:pt>
                <c:pt idx="26">
                  <c:v>7.18349266052246</c:v>
                </c:pt>
                <c:pt idx="27">
                  <c:v>7.2202048301696804</c:v>
                </c:pt>
                <c:pt idx="28">
                  <c:v>7.0928306579589799</c:v>
                </c:pt>
                <c:pt idx="29">
                  <c:v>7.35998487472534</c:v>
                </c:pt>
                <c:pt idx="30">
                  <c:v>7.3204021453857404</c:v>
                </c:pt>
                <c:pt idx="31">
                  <c:v>7.2156910896301296</c:v>
                </c:pt>
              </c:numCache>
            </c:numRef>
          </c:xVal>
          <c:yVal>
            <c:numRef>
              <c:f>Combined!$E$464:$E$495</c:f>
              <c:numCache>
                <c:formatCode>0.00</c:formatCode>
                <c:ptCount val="32"/>
                <c:pt idx="0">
                  <c:v>5.5200131233595799</c:v>
                </c:pt>
                <c:pt idx="1">
                  <c:v>7.1522309711286089</c:v>
                </c:pt>
                <c:pt idx="2">
                  <c:v>3.9041994750656164</c:v>
                </c:pt>
                <c:pt idx="3">
                  <c:v>7.0866141732283463</c:v>
                </c:pt>
                <c:pt idx="4">
                  <c:v>7.3162729658792642</c:v>
                </c:pt>
                <c:pt idx="5">
                  <c:v>7.9068241469816272</c:v>
                </c:pt>
                <c:pt idx="6">
                  <c:v>3.0839895013123355</c:v>
                </c:pt>
                <c:pt idx="7">
                  <c:v>2.7887139107611545</c:v>
                </c:pt>
                <c:pt idx="8">
                  <c:v>5.4133858267716528</c:v>
                </c:pt>
                <c:pt idx="9">
                  <c:v>8.1036745406824142</c:v>
                </c:pt>
                <c:pt idx="10">
                  <c:v>7.8083989501312328</c:v>
                </c:pt>
                <c:pt idx="11">
                  <c:v>7.6115485564304457</c:v>
                </c:pt>
                <c:pt idx="12">
                  <c:v>7.6115485564304457</c:v>
                </c:pt>
                <c:pt idx="13">
                  <c:v>3.0839895013123355</c:v>
                </c:pt>
                <c:pt idx="14">
                  <c:v>6.0039370078740157</c:v>
                </c:pt>
                <c:pt idx="15">
                  <c:v>5.6102362204724407</c:v>
                </c:pt>
                <c:pt idx="16">
                  <c:v>3.9041994750656164</c:v>
                </c:pt>
                <c:pt idx="17">
                  <c:v>6.8897637795275593</c:v>
                </c:pt>
                <c:pt idx="18">
                  <c:v>7.8083989501312328</c:v>
                </c:pt>
                <c:pt idx="19">
                  <c:v>7.8083989501312328</c:v>
                </c:pt>
                <c:pt idx="20">
                  <c:v>7.8083989501312328</c:v>
                </c:pt>
                <c:pt idx="21">
                  <c:v>8.0052493438320198</c:v>
                </c:pt>
                <c:pt idx="22">
                  <c:v>7.5131233595800522</c:v>
                </c:pt>
                <c:pt idx="23">
                  <c:v>7.6115485564304457</c:v>
                </c:pt>
                <c:pt idx="24">
                  <c:v>7.5131233595800522</c:v>
                </c:pt>
                <c:pt idx="25">
                  <c:v>7.6115485564304457</c:v>
                </c:pt>
                <c:pt idx="26">
                  <c:v>7.7099737532808401</c:v>
                </c:pt>
                <c:pt idx="27">
                  <c:v>7.9068241469816272</c:v>
                </c:pt>
                <c:pt idx="28">
                  <c:v>7.9068241469816272</c:v>
                </c:pt>
                <c:pt idx="29">
                  <c:v>8.1036745406824142</c:v>
                </c:pt>
                <c:pt idx="30">
                  <c:v>8.7926509186351716</c:v>
                </c:pt>
                <c:pt idx="31">
                  <c:v>6.7913385826771648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8AF1-47B3-A021-2E332F31BE51}"/>
            </c:ext>
          </c:extLst>
        </c:ser>
        <c:ser>
          <c:idx val="1"/>
          <c:order val="19"/>
          <c:tx>
            <c:v>1to1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GageUnc!$K$1:$K$51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GageUnc!$L$1:$L$51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AF1-47B3-A021-2E332F31BE51}"/>
            </c:ext>
          </c:extLst>
        </c:ser>
        <c:ser>
          <c:idx val="2"/>
          <c:order val="20"/>
          <c:tx>
            <c:v>+/- 1 RMSE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GageUnc!$K$1:$K$51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GageUnc!$N$1:$N$51</c:f>
              <c:numCache>
                <c:formatCode>0.00</c:formatCode>
                <c:ptCount val="51"/>
                <c:pt idx="0">
                  <c:v>2.098748124421244</c:v>
                </c:pt>
                <c:pt idx="1">
                  <c:v>3.098748124421244</c:v>
                </c:pt>
                <c:pt idx="2">
                  <c:v>4.0987481244212436</c:v>
                </c:pt>
                <c:pt idx="3">
                  <c:v>5.0987481244212436</c:v>
                </c:pt>
                <c:pt idx="4">
                  <c:v>6.0987481244212436</c:v>
                </c:pt>
                <c:pt idx="5">
                  <c:v>7.0987481244212436</c:v>
                </c:pt>
                <c:pt idx="6">
                  <c:v>8.0987481244212436</c:v>
                </c:pt>
                <c:pt idx="7">
                  <c:v>9.0987481244212436</c:v>
                </c:pt>
                <c:pt idx="8">
                  <c:v>10.098748124421244</c:v>
                </c:pt>
                <c:pt idx="9">
                  <c:v>11.098748124421244</c:v>
                </c:pt>
                <c:pt idx="10">
                  <c:v>12.098748124421244</c:v>
                </c:pt>
                <c:pt idx="11">
                  <c:v>13.098748124421244</c:v>
                </c:pt>
                <c:pt idx="12">
                  <c:v>14.098748124421244</c:v>
                </c:pt>
                <c:pt idx="13">
                  <c:v>15.098748124421244</c:v>
                </c:pt>
                <c:pt idx="14">
                  <c:v>16.098748124421245</c:v>
                </c:pt>
                <c:pt idx="15">
                  <c:v>17.098748124421245</c:v>
                </c:pt>
                <c:pt idx="16">
                  <c:v>18.098748124421245</c:v>
                </c:pt>
                <c:pt idx="17">
                  <c:v>19.098748124421245</c:v>
                </c:pt>
                <c:pt idx="18">
                  <c:v>20.098748124421245</c:v>
                </c:pt>
                <c:pt idx="19">
                  <c:v>21.098748124421245</c:v>
                </c:pt>
                <c:pt idx="20">
                  <c:v>22.098748124421245</c:v>
                </c:pt>
                <c:pt idx="21">
                  <c:v>23.098748124421245</c:v>
                </c:pt>
                <c:pt idx="22">
                  <c:v>24.098748124421245</c:v>
                </c:pt>
                <c:pt idx="23">
                  <c:v>25.098748124421245</c:v>
                </c:pt>
                <c:pt idx="24">
                  <c:v>26.098748124421245</c:v>
                </c:pt>
                <c:pt idx="25">
                  <c:v>27.098748124421245</c:v>
                </c:pt>
                <c:pt idx="26">
                  <c:v>28.098748124421245</c:v>
                </c:pt>
                <c:pt idx="27">
                  <c:v>29.098748124421245</c:v>
                </c:pt>
                <c:pt idx="28">
                  <c:v>30.098748124421245</c:v>
                </c:pt>
                <c:pt idx="29">
                  <c:v>31.098748124421245</c:v>
                </c:pt>
                <c:pt idx="30">
                  <c:v>32.098748124421242</c:v>
                </c:pt>
                <c:pt idx="31">
                  <c:v>33.098748124421242</c:v>
                </c:pt>
                <c:pt idx="32">
                  <c:v>34.098748124421242</c:v>
                </c:pt>
                <c:pt idx="33">
                  <c:v>35.098748124421242</c:v>
                </c:pt>
                <c:pt idx="34">
                  <c:v>36.098748124421242</c:v>
                </c:pt>
                <c:pt idx="35">
                  <c:v>37.098748124421242</c:v>
                </c:pt>
                <c:pt idx="36">
                  <c:v>38.098748124421242</c:v>
                </c:pt>
                <c:pt idx="37">
                  <c:v>39.098748124421242</c:v>
                </c:pt>
                <c:pt idx="38">
                  <c:v>40.098748124421242</c:v>
                </c:pt>
                <c:pt idx="39">
                  <c:v>41.098748124421242</c:v>
                </c:pt>
                <c:pt idx="40">
                  <c:v>42.098748124421242</c:v>
                </c:pt>
                <c:pt idx="41">
                  <c:v>43.098748124421242</c:v>
                </c:pt>
                <c:pt idx="42">
                  <c:v>44.098748124421242</c:v>
                </c:pt>
                <c:pt idx="43">
                  <c:v>45.098748124421242</c:v>
                </c:pt>
                <c:pt idx="44">
                  <c:v>46.098748124421242</c:v>
                </c:pt>
                <c:pt idx="45">
                  <c:v>47.098748124421242</c:v>
                </c:pt>
                <c:pt idx="46">
                  <c:v>48.098748124421242</c:v>
                </c:pt>
                <c:pt idx="47">
                  <c:v>49.098748124421242</c:v>
                </c:pt>
                <c:pt idx="48">
                  <c:v>50.098748124421242</c:v>
                </c:pt>
                <c:pt idx="49">
                  <c:v>51.098748124421242</c:v>
                </c:pt>
                <c:pt idx="50">
                  <c:v>52.098748124421242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8AF1-47B3-A021-2E332F31BE51}"/>
            </c:ext>
          </c:extLst>
        </c:ser>
        <c:ser>
          <c:idx val="3"/>
          <c:order val="21"/>
          <c:tx>
            <c:v>-1std</c:v>
          </c:tx>
          <c:spPr>
            <a:ln w="254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GageUnc!$L$1:$L$51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GageUnc!$O$1:$O$51</c:f>
              <c:numCache>
                <c:formatCode>0.00</c:formatCode>
                <c:ptCount val="51"/>
                <c:pt idx="0">
                  <c:v>-2.098748124421244</c:v>
                </c:pt>
                <c:pt idx="1">
                  <c:v>-1.098748124421244</c:v>
                </c:pt>
                <c:pt idx="2">
                  <c:v>-9.8748124421244032E-2</c:v>
                </c:pt>
                <c:pt idx="3">
                  <c:v>0.90125187557875597</c:v>
                </c:pt>
                <c:pt idx="4">
                  <c:v>1.901251875578756</c:v>
                </c:pt>
                <c:pt idx="5">
                  <c:v>2.901251875578756</c:v>
                </c:pt>
                <c:pt idx="6">
                  <c:v>3.901251875578756</c:v>
                </c:pt>
                <c:pt idx="7">
                  <c:v>4.9012518755787564</c:v>
                </c:pt>
                <c:pt idx="8">
                  <c:v>5.9012518755787564</c:v>
                </c:pt>
                <c:pt idx="9">
                  <c:v>6.9012518755787564</c:v>
                </c:pt>
                <c:pt idx="10">
                  <c:v>7.9012518755787564</c:v>
                </c:pt>
                <c:pt idx="11">
                  <c:v>8.9012518755787564</c:v>
                </c:pt>
                <c:pt idx="12">
                  <c:v>9.9012518755787564</c:v>
                </c:pt>
                <c:pt idx="13">
                  <c:v>10.901251875578756</c:v>
                </c:pt>
                <c:pt idx="14">
                  <c:v>11.901251875578756</c:v>
                </c:pt>
                <c:pt idx="15">
                  <c:v>12.901251875578756</c:v>
                </c:pt>
                <c:pt idx="16">
                  <c:v>13.901251875578756</c:v>
                </c:pt>
                <c:pt idx="17">
                  <c:v>14.901251875578756</c:v>
                </c:pt>
                <c:pt idx="18">
                  <c:v>15.901251875578756</c:v>
                </c:pt>
                <c:pt idx="19">
                  <c:v>16.901251875578755</c:v>
                </c:pt>
                <c:pt idx="20">
                  <c:v>17.901251875578755</c:v>
                </c:pt>
                <c:pt idx="21">
                  <c:v>18.901251875578755</c:v>
                </c:pt>
                <c:pt idx="22">
                  <c:v>19.901251875578755</c:v>
                </c:pt>
                <c:pt idx="23">
                  <c:v>20.901251875578755</c:v>
                </c:pt>
                <c:pt idx="24">
                  <c:v>21.901251875578755</c:v>
                </c:pt>
                <c:pt idx="25">
                  <c:v>22.901251875578755</c:v>
                </c:pt>
                <c:pt idx="26">
                  <c:v>23.901251875578755</c:v>
                </c:pt>
                <c:pt idx="27">
                  <c:v>24.901251875578755</c:v>
                </c:pt>
                <c:pt idx="28">
                  <c:v>25.901251875578755</c:v>
                </c:pt>
                <c:pt idx="29">
                  <c:v>26.901251875578755</c:v>
                </c:pt>
                <c:pt idx="30">
                  <c:v>27.901251875578755</c:v>
                </c:pt>
                <c:pt idx="31">
                  <c:v>28.901251875578755</c:v>
                </c:pt>
                <c:pt idx="32">
                  <c:v>29.901251875578755</c:v>
                </c:pt>
                <c:pt idx="33">
                  <c:v>30.901251875578755</c:v>
                </c:pt>
                <c:pt idx="34">
                  <c:v>31.901251875578755</c:v>
                </c:pt>
                <c:pt idx="35">
                  <c:v>32.901251875578758</c:v>
                </c:pt>
                <c:pt idx="36">
                  <c:v>33.901251875578758</c:v>
                </c:pt>
                <c:pt idx="37">
                  <c:v>34.901251875578758</c:v>
                </c:pt>
                <c:pt idx="38">
                  <c:v>35.901251875578758</c:v>
                </c:pt>
                <c:pt idx="39">
                  <c:v>36.901251875578758</c:v>
                </c:pt>
                <c:pt idx="40">
                  <c:v>37.901251875578758</c:v>
                </c:pt>
                <c:pt idx="41">
                  <c:v>38.901251875578758</c:v>
                </c:pt>
                <c:pt idx="42">
                  <c:v>39.901251875578758</c:v>
                </c:pt>
                <c:pt idx="43">
                  <c:v>40.901251875578758</c:v>
                </c:pt>
                <c:pt idx="44">
                  <c:v>41.901251875578758</c:v>
                </c:pt>
                <c:pt idx="45">
                  <c:v>42.901251875578758</c:v>
                </c:pt>
                <c:pt idx="46">
                  <c:v>43.901251875578758</c:v>
                </c:pt>
                <c:pt idx="47">
                  <c:v>44.901251875578758</c:v>
                </c:pt>
                <c:pt idx="48">
                  <c:v>45.901251875578758</c:v>
                </c:pt>
                <c:pt idx="49">
                  <c:v>46.901251875578758</c:v>
                </c:pt>
                <c:pt idx="50">
                  <c:v>47.901251875578758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8AF1-47B3-A021-2E332F31BE51}"/>
            </c:ext>
          </c:extLst>
        </c:ser>
        <c:ser>
          <c:idx val="4"/>
          <c:order val="22"/>
          <c:tx>
            <c:v>-1stdn</c:v>
          </c:tx>
          <c:spPr>
            <a:ln w="25400" cap="rnd">
              <a:solidFill>
                <a:schemeClr val="tx1">
                  <a:alpha val="9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GageUnc!$L$1:$L$5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GageUnc!$O$1:$O$5</c:f>
              <c:numCache>
                <c:formatCode>0.00</c:formatCode>
                <c:ptCount val="5"/>
                <c:pt idx="0">
                  <c:v>-2.098748124421244</c:v>
                </c:pt>
                <c:pt idx="1">
                  <c:v>-1.098748124421244</c:v>
                </c:pt>
                <c:pt idx="2">
                  <c:v>-9.8748124421244032E-2</c:v>
                </c:pt>
                <c:pt idx="3">
                  <c:v>0.90125187557875597</c:v>
                </c:pt>
                <c:pt idx="4">
                  <c:v>1.901251875578756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8AF1-47B3-A021-2E332F31BE51}"/>
            </c:ext>
          </c:extLst>
        </c:ser>
        <c:ser>
          <c:idx val="7"/>
          <c:order val="23"/>
          <c:tx>
            <c:v>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25400" cap="rnd">
                <a:solidFill>
                  <a:schemeClr val="accent5">
                    <a:lumMod val="75000"/>
                  </a:schemeClr>
                </a:solidFill>
                <a:prstDash val="dash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622652937613566"/>
                  <c:y val="-5.33266034053435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Combined!$D$2:$D$495</c:f>
              <c:numCache>
                <c:formatCode>0.00</c:formatCode>
                <c:ptCount val="494"/>
                <c:pt idx="0">
                  <c:v>1.7448360919952399</c:v>
                </c:pt>
                <c:pt idx="1">
                  <c:v>2.0340173244476301</c:v>
                </c:pt>
                <c:pt idx="2">
                  <c:v>1.56845927238464</c:v>
                </c:pt>
                <c:pt idx="3">
                  <c:v>1.7747837305069001</c:v>
                </c:pt>
                <c:pt idx="4">
                  <c:v>1.2953345775604199</c:v>
                </c:pt>
                <c:pt idx="5">
                  <c:v>1.48227643966675</c:v>
                </c:pt>
                <c:pt idx="6">
                  <c:v>1.7548912763595601</c:v>
                </c:pt>
                <c:pt idx="7">
                  <c:v>1.8587521314621001</c:v>
                </c:pt>
                <c:pt idx="8">
                  <c:v>2.88178634643555</c:v>
                </c:pt>
                <c:pt idx="9">
                  <c:v>1.9542093276977499</c:v>
                </c:pt>
                <c:pt idx="10">
                  <c:v>1.25166893005371</c:v>
                </c:pt>
                <c:pt idx="11">
                  <c:v>3.1537833213806201</c:v>
                </c:pt>
                <c:pt idx="12">
                  <c:v>3.5574634075164799</c:v>
                </c:pt>
                <c:pt idx="13">
                  <c:v>1.0305161476135301</c:v>
                </c:pt>
                <c:pt idx="14">
                  <c:v>2.8905079364776598</c:v>
                </c:pt>
                <c:pt idx="15">
                  <c:v>6.54313468933106</c:v>
                </c:pt>
                <c:pt idx="16">
                  <c:v>1.74316370487213</c:v>
                </c:pt>
                <c:pt idx="17">
                  <c:v>2.0504012107849099</c:v>
                </c:pt>
                <c:pt idx="18">
                  <c:v>1.5601729154586801</c:v>
                </c:pt>
                <c:pt idx="19">
                  <c:v>1.7643300294876101</c:v>
                </c:pt>
                <c:pt idx="20">
                  <c:v>1.2812638282775899</c:v>
                </c:pt>
                <c:pt idx="21">
                  <c:v>1.49347949028015</c:v>
                </c:pt>
                <c:pt idx="22">
                  <c:v>1.74072730541229</c:v>
                </c:pt>
                <c:pt idx="23">
                  <c:v>1.84258592128754</c:v>
                </c:pt>
                <c:pt idx="24">
                  <c:v>2.8721008300781299</c:v>
                </c:pt>
                <c:pt idx="25">
                  <c:v>1.9476903676986701</c:v>
                </c:pt>
                <c:pt idx="26">
                  <c:v>1.23880898952484</c:v>
                </c:pt>
                <c:pt idx="27">
                  <c:v>3.14753246307373</c:v>
                </c:pt>
                <c:pt idx="28">
                  <c:v>2.4502096176147501</c:v>
                </c:pt>
                <c:pt idx="29">
                  <c:v>1.8425482511520399</c:v>
                </c:pt>
                <c:pt idx="30">
                  <c:v>2.91453289985657</c:v>
                </c:pt>
                <c:pt idx="31">
                  <c:v>2.5323634147643999</c:v>
                </c:pt>
                <c:pt idx="32">
                  <c:v>2.5316567420959499</c:v>
                </c:pt>
                <c:pt idx="33">
                  <c:v>2.51152896881104</c:v>
                </c:pt>
                <c:pt idx="34">
                  <c:v>1.6429135799407999</c:v>
                </c:pt>
                <c:pt idx="35">
                  <c:v>2.3814320564270002</c:v>
                </c:pt>
                <c:pt idx="36">
                  <c:v>3.91373491287231</c:v>
                </c:pt>
                <c:pt idx="37">
                  <c:v>5.74534368515015</c:v>
                </c:pt>
                <c:pt idx="38">
                  <c:v>0.384113729000092</c:v>
                </c:pt>
                <c:pt idx="39">
                  <c:v>6.2768292427062997</c:v>
                </c:pt>
                <c:pt idx="40">
                  <c:v>7.5198392868042001</c:v>
                </c:pt>
                <c:pt idx="41">
                  <c:v>5.3458561897277797</c:v>
                </c:pt>
                <c:pt idx="42">
                  <c:v>6.1599831581115696</c:v>
                </c:pt>
                <c:pt idx="43">
                  <c:v>2.3229398727417001</c:v>
                </c:pt>
                <c:pt idx="44">
                  <c:v>4.3228030204773003</c:v>
                </c:pt>
                <c:pt idx="45">
                  <c:v>4.1137104034423801</c:v>
                </c:pt>
                <c:pt idx="46">
                  <c:v>5.6254501342773402</c:v>
                </c:pt>
                <c:pt idx="47">
                  <c:v>4.6066775321960503</c:v>
                </c:pt>
                <c:pt idx="48">
                  <c:v>4.90875291824341</c:v>
                </c:pt>
                <c:pt idx="49">
                  <c:v>3.9944009780883798</c:v>
                </c:pt>
                <c:pt idx="50">
                  <c:v>3.9936172962188698</c:v>
                </c:pt>
                <c:pt idx="51">
                  <c:v>4.8460016250610396</c:v>
                </c:pt>
                <c:pt idx="52">
                  <c:v>5.6785311698913601</c:v>
                </c:pt>
                <c:pt idx="53">
                  <c:v>4.8994083404540998</c:v>
                </c:pt>
                <c:pt idx="54">
                  <c:v>1.92495560646057</c:v>
                </c:pt>
                <c:pt idx="55">
                  <c:v>5.2084484100341797</c:v>
                </c:pt>
                <c:pt idx="56">
                  <c:v>6.8409962654113796</c:v>
                </c:pt>
                <c:pt idx="57">
                  <c:v>3.7474431991577202</c:v>
                </c:pt>
                <c:pt idx="58">
                  <c:v>5.2700695991516104</c:v>
                </c:pt>
                <c:pt idx="59">
                  <c:v>2.6613113880157502</c:v>
                </c:pt>
                <c:pt idx="60">
                  <c:v>2.9533932209014901</c:v>
                </c:pt>
                <c:pt idx="61">
                  <c:v>2.9043555259704599</c:v>
                </c:pt>
                <c:pt idx="62">
                  <c:v>3.74091625213623</c:v>
                </c:pt>
                <c:pt idx="63">
                  <c:v>3.0372765064239502</c:v>
                </c:pt>
                <c:pt idx="64">
                  <c:v>3.00093650817871</c:v>
                </c:pt>
                <c:pt idx="65">
                  <c:v>2.6888508796691899</c:v>
                </c:pt>
                <c:pt idx="66">
                  <c:v>2.8888907432556201</c:v>
                </c:pt>
                <c:pt idx="67">
                  <c:v>3.0253353118896502</c:v>
                </c:pt>
                <c:pt idx="68">
                  <c:v>4.2978162765502903</c:v>
                </c:pt>
                <c:pt idx="69">
                  <c:v>8.6035842895507795</c:v>
                </c:pt>
                <c:pt idx="70">
                  <c:v>6.36513328552246</c:v>
                </c:pt>
                <c:pt idx="71">
                  <c:v>8.6697673797607404</c:v>
                </c:pt>
                <c:pt idx="72">
                  <c:v>10.667182922363301</c:v>
                </c:pt>
                <c:pt idx="73">
                  <c:v>6.9931397438049299</c:v>
                </c:pt>
                <c:pt idx="74">
                  <c:v>6.9523983001709002</c:v>
                </c:pt>
                <c:pt idx="75">
                  <c:v>7.9284815788268999</c:v>
                </c:pt>
                <c:pt idx="76">
                  <c:v>7.0073480606079102</c:v>
                </c:pt>
                <c:pt idx="77">
                  <c:v>6.9199872016906703</c:v>
                </c:pt>
                <c:pt idx="78">
                  <c:v>6.8900947570800799</c:v>
                </c:pt>
                <c:pt idx="79">
                  <c:v>7.1306881904602104</c:v>
                </c:pt>
                <c:pt idx="80">
                  <c:v>6.9653916358947798</c:v>
                </c:pt>
                <c:pt idx="81">
                  <c:v>8.45715236663818</c:v>
                </c:pt>
                <c:pt idx="82">
                  <c:v>8.5138425827026403</c:v>
                </c:pt>
                <c:pt idx="83">
                  <c:v>6.6704859733581499</c:v>
                </c:pt>
                <c:pt idx="84">
                  <c:v>9.4046001434326207</c:v>
                </c:pt>
                <c:pt idx="85">
                  <c:v>11.549516677856399</c:v>
                </c:pt>
                <c:pt idx="86">
                  <c:v>7.52278709411621</c:v>
                </c:pt>
                <c:pt idx="87">
                  <c:v>8.7693166732788104</c:v>
                </c:pt>
                <c:pt idx="88">
                  <c:v>6.6161475181579599</c:v>
                </c:pt>
                <c:pt idx="89">
                  <c:v>7.6360449790954599</c:v>
                </c:pt>
                <c:pt idx="90">
                  <c:v>6.8705577850341797</c:v>
                </c:pt>
                <c:pt idx="91">
                  <c:v>7.8859295845031703</c:v>
                </c:pt>
                <c:pt idx="92">
                  <c:v>7.4367904663085902</c:v>
                </c:pt>
                <c:pt idx="93">
                  <c:v>7.4072809219360396</c:v>
                </c:pt>
                <c:pt idx="94">
                  <c:v>6.9202075004577601</c:v>
                </c:pt>
                <c:pt idx="95">
                  <c:v>7.6970643997192401</c:v>
                </c:pt>
                <c:pt idx="96">
                  <c:v>7.2943768501281703</c:v>
                </c:pt>
                <c:pt idx="97">
                  <c:v>8.2150373458862305</c:v>
                </c:pt>
                <c:pt idx="98">
                  <c:v>3.4588291645050102</c:v>
                </c:pt>
                <c:pt idx="99">
                  <c:v>0.84762668609619096</c:v>
                </c:pt>
                <c:pt idx="100">
                  <c:v>2.9108982086181601</c:v>
                </c:pt>
                <c:pt idx="101">
                  <c:v>6.0985293388366699</c:v>
                </c:pt>
                <c:pt idx="102">
                  <c:v>2.1431634426116899</c:v>
                </c:pt>
                <c:pt idx="103">
                  <c:v>2.8191168308258101</c:v>
                </c:pt>
                <c:pt idx="104">
                  <c:v>1.4528992176055899</c:v>
                </c:pt>
                <c:pt idx="105">
                  <c:v>1.2978254556655899</c:v>
                </c:pt>
                <c:pt idx="106">
                  <c:v>1.17037808895111</c:v>
                </c:pt>
                <c:pt idx="107">
                  <c:v>1.9899208545684799</c:v>
                </c:pt>
                <c:pt idx="108">
                  <c:v>1.2796422243118299</c:v>
                </c:pt>
                <c:pt idx="109">
                  <c:v>1.6084678173065201</c:v>
                </c:pt>
                <c:pt idx="110">
                  <c:v>2.74417304992676</c:v>
                </c:pt>
                <c:pt idx="111">
                  <c:v>1.5557951927185101</c:v>
                </c:pt>
                <c:pt idx="112">
                  <c:v>1.3411569595336901</c:v>
                </c:pt>
                <c:pt idx="113">
                  <c:v>3.0861001014709499</c:v>
                </c:pt>
                <c:pt idx="114">
                  <c:v>7.9618272781372097</c:v>
                </c:pt>
                <c:pt idx="115">
                  <c:v>2.9149236679077202</c:v>
                </c:pt>
                <c:pt idx="116">
                  <c:v>7.9541120529174796</c:v>
                </c:pt>
                <c:pt idx="117">
                  <c:v>8.5244693756103498</c:v>
                </c:pt>
                <c:pt idx="118">
                  <c:v>7.5633044242858896</c:v>
                </c:pt>
                <c:pt idx="119">
                  <c:v>8.1803655624389702</c:v>
                </c:pt>
                <c:pt idx="120">
                  <c:v>4.0383586883544904</c:v>
                </c:pt>
                <c:pt idx="121">
                  <c:v>6.4694113731384304</c:v>
                </c:pt>
                <c:pt idx="122">
                  <c:v>5.86962795257568</c:v>
                </c:pt>
                <c:pt idx="123">
                  <c:v>7.6049075126648003</c:v>
                </c:pt>
                <c:pt idx="124">
                  <c:v>6.4352269172668501</c:v>
                </c:pt>
                <c:pt idx="125">
                  <c:v>6.3637981414794904</c:v>
                </c:pt>
                <c:pt idx="126">
                  <c:v>6.17327833175659</c:v>
                </c:pt>
                <c:pt idx="127">
                  <c:v>5.8360567092895499</c:v>
                </c:pt>
                <c:pt idx="128">
                  <c:v>6.6315684318542498</c:v>
                </c:pt>
                <c:pt idx="129">
                  <c:v>7.7206749916076696</c:v>
                </c:pt>
                <c:pt idx="130">
                  <c:v>4.0738792419433603</c:v>
                </c:pt>
                <c:pt idx="131">
                  <c:v>1.35436511039734</c:v>
                </c:pt>
                <c:pt idx="132">
                  <c:v>3.66083788871765</c:v>
                </c:pt>
                <c:pt idx="133">
                  <c:v>8.4517955780029297</c:v>
                </c:pt>
                <c:pt idx="134">
                  <c:v>2.3384270668029798</c:v>
                </c:pt>
                <c:pt idx="135">
                  <c:v>1.90528893470764</c:v>
                </c:pt>
                <c:pt idx="136">
                  <c:v>2.1225728988647501</c:v>
                </c:pt>
                <c:pt idx="137">
                  <c:v>2.4952099323272701</c:v>
                </c:pt>
                <c:pt idx="138">
                  <c:v>1.8521910905837999</c:v>
                </c:pt>
                <c:pt idx="139">
                  <c:v>1.5725284814834599</c:v>
                </c:pt>
                <c:pt idx="140">
                  <c:v>2.67950439453125</c:v>
                </c:pt>
                <c:pt idx="141">
                  <c:v>2.6814935207366899</c:v>
                </c:pt>
                <c:pt idx="142">
                  <c:v>3.46857810020447</c:v>
                </c:pt>
                <c:pt idx="143">
                  <c:v>1.7326465845107999</c:v>
                </c:pt>
                <c:pt idx="144">
                  <c:v>1.7189974784851101</c:v>
                </c:pt>
                <c:pt idx="145">
                  <c:v>4.8496851921081499</c:v>
                </c:pt>
                <c:pt idx="146">
                  <c:v>1.4560068845748899</c:v>
                </c:pt>
                <c:pt idx="147">
                  <c:v>1.55275595188141</c:v>
                </c:pt>
                <c:pt idx="148">
                  <c:v>2.3596782684326199</c:v>
                </c:pt>
                <c:pt idx="149">
                  <c:v>1.44899773597717</c:v>
                </c:pt>
                <c:pt idx="150">
                  <c:v>1.2768319845199601</c:v>
                </c:pt>
                <c:pt idx="151">
                  <c:v>2.5884561538696298</c:v>
                </c:pt>
                <c:pt idx="152">
                  <c:v>4.8929705619812003</c:v>
                </c:pt>
                <c:pt idx="153">
                  <c:v>1.3260631561279299</c:v>
                </c:pt>
                <c:pt idx="154">
                  <c:v>3.5101194381713898</c:v>
                </c:pt>
                <c:pt idx="155">
                  <c:v>7.0889930725097701</c:v>
                </c:pt>
                <c:pt idx="156">
                  <c:v>2.2785804271697998</c:v>
                </c:pt>
                <c:pt idx="157">
                  <c:v>2.2421641349792498</c:v>
                </c:pt>
                <c:pt idx="158">
                  <c:v>2.04465532302856</c:v>
                </c:pt>
                <c:pt idx="159">
                  <c:v>2.3596179485321001</c:v>
                </c:pt>
                <c:pt idx="160">
                  <c:v>1.76886594295502</c:v>
                </c:pt>
                <c:pt idx="161">
                  <c:v>1.5771850347518901</c:v>
                </c:pt>
                <c:pt idx="162">
                  <c:v>2.4269831180572501</c:v>
                </c:pt>
                <c:pt idx="163">
                  <c:v>2.5161905288696298</c:v>
                </c:pt>
                <c:pt idx="164">
                  <c:v>3.2574110031127899</c:v>
                </c:pt>
                <c:pt idx="165">
                  <c:v>3.1734673976898198</c:v>
                </c:pt>
                <c:pt idx="166">
                  <c:v>1.6521128416061399</c:v>
                </c:pt>
                <c:pt idx="167">
                  <c:v>3.73580694198608</c:v>
                </c:pt>
                <c:pt idx="168">
                  <c:v>3.0304300785064702</c:v>
                </c:pt>
                <c:pt idx="169">
                  <c:v>3.3617844581603999</c:v>
                </c:pt>
                <c:pt idx="170">
                  <c:v>1.8728837966918901</c:v>
                </c:pt>
                <c:pt idx="171">
                  <c:v>3.5841221809387198</c:v>
                </c:pt>
                <c:pt idx="172">
                  <c:v>1.5585350990295399</c:v>
                </c:pt>
                <c:pt idx="173">
                  <c:v>2.0701386928558398</c:v>
                </c:pt>
                <c:pt idx="174">
                  <c:v>2.6317408084869398</c:v>
                </c:pt>
                <c:pt idx="175">
                  <c:v>2.56960129737854</c:v>
                </c:pt>
                <c:pt idx="176">
                  <c:v>3.2625987529754599</c:v>
                </c:pt>
                <c:pt idx="177">
                  <c:v>6.3795046806335503</c:v>
                </c:pt>
                <c:pt idx="178">
                  <c:v>1.6122235059738199</c:v>
                </c:pt>
                <c:pt idx="179">
                  <c:v>5.4548311233520499</c:v>
                </c:pt>
                <c:pt idx="180">
                  <c:v>9.2662305831909197</c:v>
                </c:pt>
                <c:pt idx="181">
                  <c:v>3.68542551994324</c:v>
                </c:pt>
                <c:pt idx="182">
                  <c:v>6.39343357086182</c:v>
                </c:pt>
                <c:pt idx="183">
                  <c:v>9.1767826080322301</c:v>
                </c:pt>
                <c:pt idx="184">
                  <c:v>5.4484338760376003</c:v>
                </c:pt>
                <c:pt idx="185">
                  <c:v>6.5727596282959002</c:v>
                </c:pt>
                <c:pt idx="186">
                  <c:v>4.5751504898071298</c:v>
                </c:pt>
                <c:pt idx="187">
                  <c:v>5.1694192886352504</c:v>
                </c:pt>
                <c:pt idx="188">
                  <c:v>4.9298162460327202</c:v>
                </c:pt>
                <c:pt idx="189">
                  <c:v>5.7497696876525897</c:v>
                </c:pt>
                <c:pt idx="190">
                  <c:v>5.1936402320861799</c:v>
                </c:pt>
                <c:pt idx="191">
                  <c:v>5.1192474365234402</c:v>
                </c:pt>
                <c:pt idx="192">
                  <c:v>4.9321317672729501</c:v>
                </c:pt>
                <c:pt idx="193">
                  <c:v>6.3791599273681596</c:v>
                </c:pt>
                <c:pt idx="194">
                  <c:v>5.0833597183227504</c:v>
                </c:pt>
                <c:pt idx="195">
                  <c:v>6.7741074562072798</c:v>
                </c:pt>
                <c:pt idx="196">
                  <c:v>9.3495330810546893</c:v>
                </c:pt>
                <c:pt idx="197">
                  <c:v>1.3462396860122701</c:v>
                </c:pt>
                <c:pt idx="198">
                  <c:v>5.52766990661621</c:v>
                </c:pt>
                <c:pt idx="199">
                  <c:v>9.2490892410278303</c:v>
                </c:pt>
                <c:pt idx="200">
                  <c:v>3.1025092601776101</c:v>
                </c:pt>
                <c:pt idx="201">
                  <c:v>3.41788983345032</c:v>
                </c:pt>
                <c:pt idx="202">
                  <c:v>2.0597894191741899</c:v>
                </c:pt>
                <c:pt idx="203">
                  <c:v>3.6750211715698198</c:v>
                </c:pt>
                <c:pt idx="204">
                  <c:v>1.7800418138503999</c:v>
                </c:pt>
                <c:pt idx="205">
                  <c:v>1.6968082189559901</c:v>
                </c:pt>
                <c:pt idx="206">
                  <c:v>2.7122390270233199</c:v>
                </c:pt>
                <c:pt idx="207">
                  <c:v>2.6399791240692099</c:v>
                </c:pt>
                <c:pt idx="208">
                  <c:v>3.2767372131347701</c:v>
                </c:pt>
                <c:pt idx="209">
                  <c:v>6.4936480522155797</c:v>
                </c:pt>
                <c:pt idx="210">
                  <c:v>1.73391914367676</c:v>
                </c:pt>
                <c:pt idx="211">
                  <c:v>5.5769238471984899</c:v>
                </c:pt>
                <c:pt idx="212">
                  <c:v>12.4606580734253</c:v>
                </c:pt>
                <c:pt idx="213">
                  <c:v>10.220248222351101</c:v>
                </c:pt>
                <c:pt idx="214">
                  <c:v>11.886334419250501</c:v>
                </c:pt>
                <c:pt idx="215">
                  <c:v>8.5261201858520508</c:v>
                </c:pt>
                <c:pt idx="216">
                  <c:v>10.026070594787599</c:v>
                </c:pt>
                <c:pt idx="217">
                  <c:v>7.6916785240173304</c:v>
                </c:pt>
                <c:pt idx="218">
                  <c:v>9.7127122879028303</c:v>
                </c:pt>
                <c:pt idx="219">
                  <c:v>7.6005153656005904</c:v>
                </c:pt>
                <c:pt idx="220">
                  <c:v>9.0180139541625994</c:v>
                </c:pt>
                <c:pt idx="221">
                  <c:v>8.3198385238647496</c:v>
                </c:pt>
                <c:pt idx="222">
                  <c:v>8.4910736083984393</c:v>
                </c:pt>
                <c:pt idx="223">
                  <c:v>7.8765211105346697</c:v>
                </c:pt>
                <c:pt idx="224">
                  <c:v>9.14300537109375</c:v>
                </c:pt>
                <c:pt idx="225">
                  <c:v>8.0999031066894496</c:v>
                </c:pt>
                <c:pt idx="226">
                  <c:v>10.078198432922401</c:v>
                </c:pt>
                <c:pt idx="227">
                  <c:v>12.7775478363037</c:v>
                </c:pt>
                <c:pt idx="228">
                  <c:v>1.3738472461700399</c:v>
                </c:pt>
                <c:pt idx="229">
                  <c:v>7.5141615867614799</c:v>
                </c:pt>
                <c:pt idx="230">
                  <c:v>12.1582746505737</c:v>
                </c:pt>
                <c:pt idx="231">
                  <c:v>4.5187416076660201</c:v>
                </c:pt>
                <c:pt idx="232">
                  <c:v>4.8860750198364302</c:v>
                </c:pt>
                <c:pt idx="233">
                  <c:v>2.1116135120391801</c:v>
                </c:pt>
                <c:pt idx="234">
                  <c:v>5.5770568847656303</c:v>
                </c:pt>
                <c:pt idx="235">
                  <c:v>1.8080533742904701</c:v>
                </c:pt>
                <c:pt idx="236">
                  <c:v>2.3154628276825</c:v>
                </c:pt>
                <c:pt idx="237">
                  <c:v>3.5651500225067099</c:v>
                </c:pt>
                <c:pt idx="238">
                  <c:v>3.4100883007049601</c:v>
                </c:pt>
                <c:pt idx="239">
                  <c:v>9.48724460601807</c:v>
                </c:pt>
                <c:pt idx="240">
                  <c:v>1.9118264913559</c:v>
                </c:pt>
                <c:pt idx="241">
                  <c:v>8.0270557403564506</c:v>
                </c:pt>
                <c:pt idx="242">
                  <c:v>17.3054084777832</c:v>
                </c:pt>
                <c:pt idx="243">
                  <c:v>10.230510711669901</c:v>
                </c:pt>
                <c:pt idx="244">
                  <c:v>15.149151802063001</c:v>
                </c:pt>
                <c:pt idx="245">
                  <c:v>12.7478532791138</c:v>
                </c:pt>
                <c:pt idx="246">
                  <c:v>14.1496467590332</c:v>
                </c:pt>
                <c:pt idx="247">
                  <c:v>10.3044652938843</c:v>
                </c:pt>
                <c:pt idx="248">
                  <c:v>14.760377883911101</c:v>
                </c:pt>
                <c:pt idx="249">
                  <c:v>10.003471374511699</c:v>
                </c:pt>
                <c:pt idx="250">
                  <c:v>11.4971218109131</c:v>
                </c:pt>
                <c:pt idx="251">
                  <c:v>12.2976484298706</c:v>
                </c:pt>
                <c:pt idx="252">
                  <c:v>12.389152526855501</c:v>
                </c:pt>
                <c:pt idx="253">
                  <c:v>11.2758598327637</c:v>
                </c:pt>
                <c:pt idx="254">
                  <c:v>15.2803955078125</c:v>
                </c:pt>
                <c:pt idx="255">
                  <c:v>10.8453168869019</c:v>
                </c:pt>
                <c:pt idx="256">
                  <c:v>12.170327186584499</c:v>
                </c:pt>
                <c:pt idx="257">
                  <c:v>27.449680328369102</c:v>
                </c:pt>
                <c:pt idx="258">
                  <c:v>19.193195343017599</c:v>
                </c:pt>
                <c:pt idx="259">
                  <c:v>25.0657043457031</c:v>
                </c:pt>
                <c:pt idx="260">
                  <c:v>28.2618007659912</c:v>
                </c:pt>
                <c:pt idx="261">
                  <c:v>22.960983276367202</c:v>
                </c:pt>
                <c:pt idx="262">
                  <c:v>22.913082122802699</c:v>
                </c:pt>
                <c:pt idx="263">
                  <c:v>20.255271911621101</c:v>
                </c:pt>
                <c:pt idx="264">
                  <c:v>19.330123901367202</c:v>
                </c:pt>
                <c:pt idx="265">
                  <c:v>20.101802825927699</c:v>
                </c:pt>
                <c:pt idx="266">
                  <c:v>22.031641006469702</c:v>
                </c:pt>
                <c:pt idx="267">
                  <c:v>22.206932067871101</c:v>
                </c:pt>
                <c:pt idx="268">
                  <c:v>20.707105636596701</c:v>
                </c:pt>
                <c:pt idx="269">
                  <c:v>27.795467376708999</c:v>
                </c:pt>
                <c:pt idx="270">
                  <c:v>20.6470947265625</c:v>
                </c:pt>
                <c:pt idx="271">
                  <c:v>21.897832870483398</c:v>
                </c:pt>
                <c:pt idx="272">
                  <c:v>8.9884366989135707</c:v>
                </c:pt>
                <c:pt idx="273">
                  <c:v>1.81040298938751</c:v>
                </c:pt>
                <c:pt idx="274">
                  <c:v>4.1638946533203098</c:v>
                </c:pt>
                <c:pt idx="275">
                  <c:v>5.35428667068481</c:v>
                </c:pt>
                <c:pt idx="276">
                  <c:v>5.6536121368408203</c:v>
                </c:pt>
                <c:pt idx="277">
                  <c:v>4.19998979568481</c:v>
                </c:pt>
                <c:pt idx="278">
                  <c:v>9.2791013717651403</c:v>
                </c:pt>
                <c:pt idx="279">
                  <c:v>2.52888154983521</c:v>
                </c:pt>
                <c:pt idx="280">
                  <c:v>6.9796085357665998</c:v>
                </c:pt>
                <c:pt idx="281">
                  <c:v>21.085620880126999</c:v>
                </c:pt>
                <c:pt idx="282">
                  <c:v>18.9239387512207</c:v>
                </c:pt>
                <c:pt idx="283">
                  <c:v>23.5012321472168</c:v>
                </c:pt>
                <c:pt idx="284">
                  <c:v>14.9496564865112</c:v>
                </c:pt>
                <c:pt idx="285">
                  <c:v>15.881507873535201</c:v>
                </c:pt>
                <c:pt idx="286">
                  <c:v>11.0379428863525</c:v>
                </c:pt>
                <c:pt idx="287">
                  <c:v>17.894950866699201</c:v>
                </c:pt>
                <c:pt idx="288">
                  <c:v>9.9020843505859393</c:v>
                </c:pt>
                <c:pt idx="289">
                  <c:v>12.1510019302368</c:v>
                </c:pt>
                <c:pt idx="290">
                  <c:v>14.554007530212401</c:v>
                </c:pt>
                <c:pt idx="291">
                  <c:v>14.651165962219199</c:v>
                </c:pt>
                <c:pt idx="292">
                  <c:v>12.203774452209499</c:v>
                </c:pt>
                <c:pt idx="293">
                  <c:v>20.7529411315918</c:v>
                </c:pt>
                <c:pt idx="294">
                  <c:v>11.6429347991943</c:v>
                </c:pt>
                <c:pt idx="295">
                  <c:v>14.065894126892101</c:v>
                </c:pt>
                <c:pt idx="296">
                  <c:v>36.522716522216797</c:v>
                </c:pt>
                <c:pt idx="297">
                  <c:v>35.495693206787102</c:v>
                </c:pt>
                <c:pt idx="298">
                  <c:v>35.915756225585902</c:v>
                </c:pt>
                <c:pt idx="299">
                  <c:v>34.016136169433601</c:v>
                </c:pt>
                <c:pt idx="300">
                  <c:v>34.650730133056598</c:v>
                </c:pt>
                <c:pt idx="301">
                  <c:v>32.603191375732401</c:v>
                </c:pt>
                <c:pt idx="302">
                  <c:v>34.691097259521499</c:v>
                </c:pt>
                <c:pt idx="303">
                  <c:v>32.237846374511697</c:v>
                </c:pt>
                <c:pt idx="304">
                  <c:v>33.029167175292997</c:v>
                </c:pt>
                <c:pt idx="305">
                  <c:v>33.899063110351598</c:v>
                </c:pt>
                <c:pt idx="306">
                  <c:v>34.199054718017599</c:v>
                </c:pt>
                <c:pt idx="307">
                  <c:v>32.997356414794901</c:v>
                </c:pt>
                <c:pt idx="308">
                  <c:v>36.550506591796903</c:v>
                </c:pt>
                <c:pt idx="309">
                  <c:v>32.638065338134801</c:v>
                </c:pt>
                <c:pt idx="310">
                  <c:v>33.426174163818402</c:v>
                </c:pt>
                <c:pt idx="311">
                  <c:v>12.519926071166999</c:v>
                </c:pt>
                <c:pt idx="312">
                  <c:v>10.0575723648071</c:v>
                </c:pt>
                <c:pt idx="313">
                  <c:v>12.308399200439499</c:v>
                </c:pt>
                <c:pt idx="314">
                  <c:v>13.4106397628784</c:v>
                </c:pt>
                <c:pt idx="315">
                  <c:v>11.529076576232899</c:v>
                </c:pt>
                <c:pt idx="316">
                  <c:v>11.7999324798584</c:v>
                </c:pt>
                <c:pt idx="317">
                  <c:v>12.0711402893066</c:v>
                </c:pt>
                <c:pt idx="318">
                  <c:v>9.5702066421508807</c:v>
                </c:pt>
                <c:pt idx="319">
                  <c:v>11.3217678070068</c:v>
                </c:pt>
                <c:pt idx="320">
                  <c:v>11.316707611084</c:v>
                </c:pt>
                <c:pt idx="321">
                  <c:v>10.8149366378784</c:v>
                </c:pt>
                <c:pt idx="322">
                  <c:v>11.3730764389038</c:v>
                </c:pt>
                <c:pt idx="323">
                  <c:v>10.251777648925801</c:v>
                </c:pt>
                <c:pt idx="324">
                  <c:v>11.270515441894499</c:v>
                </c:pt>
                <c:pt idx="325">
                  <c:v>8.3434467315673793</c:v>
                </c:pt>
                <c:pt idx="326">
                  <c:v>1.4219319820404099</c:v>
                </c:pt>
                <c:pt idx="327">
                  <c:v>6.9270071983337402</c:v>
                </c:pt>
                <c:pt idx="328">
                  <c:v>4.5333824157714799</c:v>
                </c:pt>
                <c:pt idx="329">
                  <c:v>5.9023609161376998</c:v>
                </c:pt>
                <c:pt idx="330">
                  <c:v>2.3176739215850799</c:v>
                </c:pt>
                <c:pt idx="331">
                  <c:v>5.5747094154357901</c:v>
                </c:pt>
                <c:pt idx="332">
                  <c:v>1.8097038269043</c:v>
                </c:pt>
                <c:pt idx="333">
                  <c:v>3.4525215625762899</c:v>
                </c:pt>
                <c:pt idx="334">
                  <c:v>4.0301814079284703</c:v>
                </c:pt>
                <c:pt idx="335">
                  <c:v>4.0951595306396502</c:v>
                </c:pt>
                <c:pt idx="336">
                  <c:v>3.6535696983337398</c:v>
                </c:pt>
                <c:pt idx="337">
                  <c:v>6.7314910888671902</c:v>
                </c:pt>
                <c:pt idx="338">
                  <c:v>2.3104209899902299</c:v>
                </c:pt>
                <c:pt idx="339">
                  <c:v>6.0226778984069798</c:v>
                </c:pt>
                <c:pt idx="340">
                  <c:v>8.3440732955932599</c:v>
                </c:pt>
                <c:pt idx="341">
                  <c:v>1.4219366312027</c:v>
                </c:pt>
                <c:pt idx="342">
                  <c:v>6.9238629341125497</c:v>
                </c:pt>
                <c:pt idx="343">
                  <c:v>9.5507850646972692</c:v>
                </c:pt>
                <c:pt idx="344">
                  <c:v>4.5196471214294398</c:v>
                </c:pt>
                <c:pt idx="345">
                  <c:v>5.9138917922973597</c:v>
                </c:pt>
                <c:pt idx="346">
                  <c:v>2.3176932334899898</c:v>
                </c:pt>
                <c:pt idx="347">
                  <c:v>5.5777354240417498</c:v>
                </c:pt>
                <c:pt idx="348">
                  <c:v>1.8097119331359901</c:v>
                </c:pt>
                <c:pt idx="349">
                  <c:v>3.4494559764862101</c:v>
                </c:pt>
                <c:pt idx="350">
                  <c:v>4.0200843811035201</c:v>
                </c:pt>
                <c:pt idx="351">
                  <c:v>4.0730605125427299</c:v>
                </c:pt>
                <c:pt idx="352">
                  <c:v>3.6473658084869398</c:v>
                </c:pt>
                <c:pt idx="353">
                  <c:v>6.7005734443664604</c:v>
                </c:pt>
                <c:pt idx="354">
                  <c:v>2.3104405403137198</c:v>
                </c:pt>
                <c:pt idx="355">
                  <c:v>6.0143284797668501</c:v>
                </c:pt>
                <c:pt idx="356">
                  <c:v>1.4219366312027</c:v>
                </c:pt>
                <c:pt idx="357">
                  <c:v>6.9238629341125497</c:v>
                </c:pt>
                <c:pt idx="358">
                  <c:v>9.5507850646972692</c:v>
                </c:pt>
                <c:pt idx="359">
                  <c:v>5.9138917922973597</c:v>
                </c:pt>
                <c:pt idx="360">
                  <c:v>2.3176932334899898</c:v>
                </c:pt>
                <c:pt idx="361">
                  <c:v>5.5777354240417498</c:v>
                </c:pt>
                <c:pt idx="362">
                  <c:v>1.8097119331359901</c:v>
                </c:pt>
                <c:pt idx="363">
                  <c:v>3.4494559764862101</c:v>
                </c:pt>
                <c:pt idx="364">
                  <c:v>4.0200843811035201</c:v>
                </c:pt>
                <c:pt idx="365">
                  <c:v>4.0730605125427299</c:v>
                </c:pt>
                <c:pt idx="366">
                  <c:v>3.6473658084869398</c:v>
                </c:pt>
                <c:pt idx="367">
                  <c:v>6.7005734443664604</c:v>
                </c:pt>
                <c:pt idx="368">
                  <c:v>2.3104405403137198</c:v>
                </c:pt>
                <c:pt idx="369">
                  <c:v>6.0143284797668501</c:v>
                </c:pt>
                <c:pt idx="370">
                  <c:v>17.267972946166999</c:v>
                </c:pt>
                <c:pt idx="371">
                  <c:v>16.965282440185501</c:v>
                </c:pt>
                <c:pt idx="372">
                  <c:v>20.554725646972699</c:v>
                </c:pt>
                <c:pt idx="373">
                  <c:v>13.547269821166999</c:v>
                </c:pt>
                <c:pt idx="374">
                  <c:v>14.5403709411621</c:v>
                </c:pt>
                <c:pt idx="375">
                  <c:v>17.406356811523398</c:v>
                </c:pt>
                <c:pt idx="376">
                  <c:v>12.133440017700201</c:v>
                </c:pt>
                <c:pt idx="377">
                  <c:v>13.0069427490234</c:v>
                </c:pt>
                <c:pt idx="378">
                  <c:v>13.797681808471699</c:v>
                </c:pt>
                <c:pt idx="379">
                  <c:v>13.837394714355501</c:v>
                </c:pt>
                <c:pt idx="380">
                  <c:v>17.062202453613299</c:v>
                </c:pt>
                <c:pt idx="381">
                  <c:v>14.709205627441399</c:v>
                </c:pt>
                <c:pt idx="382">
                  <c:v>29.1455898284912</c:v>
                </c:pt>
                <c:pt idx="383">
                  <c:v>29.586986541748001</c:v>
                </c:pt>
                <c:pt idx="384">
                  <c:v>24.961597442626999</c:v>
                </c:pt>
                <c:pt idx="385">
                  <c:v>25.693353652954102</c:v>
                </c:pt>
                <c:pt idx="386">
                  <c:v>28.687623977661101</c:v>
                </c:pt>
                <c:pt idx="387">
                  <c:v>22.483201980590799</c:v>
                </c:pt>
                <c:pt idx="388">
                  <c:v>24.850339889526399</c:v>
                </c:pt>
                <c:pt idx="389">
                  <c:v>23.983903884887699</c:v>
                </c:pt>
                <c:pt idx="390">
                  <c:v>32.014503479003899</c:v>
                </c:pt>
                <c:pt idx="391">
                  <c:v>21.5687770843506</c:v>
                </c:pt>
                <c:pt idx="392">
                  <c:v>5.27545166015625</c:v>
                </c:pt>
                <c:pt idx="393">
                  <c:v>7.6003174781799299</c:v>
                </c:pt>
                <c:pt idx="394">
                  <c:v>8.3906126022338903</c:v>
                </c:pt>
                <c:pt idx="395">
                  <c:v>2.2102460861206099</c:v>
                </c:pt>
                <c:pt idx="396">
                  <c:v>3.0287299156189</c:v>
                </c:pt>
                <c:pt idx="397">
                  <c:v>1.9080952405929601</c:v>
                </c:pt>
                <c:pt idx="398">
                  <c:v>9.4513435363769496</c:v>
                </c:pt>
                <c:pt idx="399">
                  <c:v>5.0286531448364302</c:v>
                </c:pt>
                <c:pt idx="400">
                  <c:v>4.2818312644958496</c:v>
                </c:pt>
                <c:pt idx="401">
                  <c:v>3.67012643814087</c:v>
                </c:pt>
                <c:pt idx="402">
                  <c:v>3.3223969936370898</c:v>
                </c:pt>
                <c:pt idx="403">
                  <c:v>3.10292649269104</c:v>
                </c:pt>
                <c:pt idx="404">
                  <c:v>14.829709053039601</c:v>
                </c:pt>
                <c:pt idx="405">
                  <c:v>3.1085188388824498</c:v>
                </c:pt>
                <c:pt idx="406">
                  <c:v>2.1134305000305198</c:v>
                </c:pt>
                <c:pt idx="407">
                  <c:v>2.91533327102661</c:v>
                </c:pt>
                <c:pt idx="408">
                  <c:v>3.4605119228363002</c:v>
                </c:pt>
                <c:pt idx="409">
                  <c:v>2.1765878200531001</c:v>
                </c:pt>
                <c:pt idx="410">
                  <c:v>2.5710477828979501</c:v>
                </c:pt>
                <c:pt idx="411">
                  <c:v>5.1613750457763699</c:v>
                </c:pt>
                <c:pt idx="412">
                  <c:v>3.32182836532593</c:v>
                </c:pt>
                <c:pt idx="413">
                  <c:v>3.9009268283843999</c:v>
                </c:pt>
                <c:pt idx="414">
                  <c:v>2.53601145744324</c:v>
                </c:pt>
                <c:pt idx="415">
                  <c:v>2.25711274147034</c:v>
                </c:pt>
                <c:pt idx="416">
                  <c:v>8.5909538269043004</c:v>
                </c:pt>
                <c:pt idx="417">
                  <c:v>3.7233855724334699</c:v>
                </c:pt>
                <c:pt idx="418">
                  <c:v>5.72916555404663</c:v>
                </c:pt>
                <c:pt idx="419">
                  <c:v>5.0082039833068901</c:v>
                </c:pt>
                <c:pt idx="420">
                  <c:v>4.4980382919311497</c:v>
                </c:pt>
                <c:pt idx="421">
                  <c:v>3.95935106277466</c:v>
                </c:pt>
                <c:pt idx="422">
                  <c:v>5.4652352333068901</c:v>
                </c:pt>
                <c:pt idx="423">
                  <c:v>4.2184967994689897</c:v>
                </c:pt>
                <c:pt idx="424">
                  <c:v>3.7128424644470202</c:v>
                </c:pt>
                <c:pt idx="425">
                  <c:v>3.67661809921265</c:v>
                </c:pt>
                <c:pt idx="426">
                  <c:v>3.51528763771057</c:v>
                </c:pt>
                <c:pt idx="427">
                  <c:v>3.7748730182647701</c:v>
                </c:pt>
                <c:pt idx="428">
                  <c:v>4.0807862281799299</c:v>
                </c:pt>
                <c:pt idx="429">
                  <c:v>3.3628726005554199</c:v>
                </c:pt>
                <c:pt idx="430">
                  <c:v>6.0650968551635698</c:v>
                </c:pt>
                <c:pt idx="431">
                  <c:v>4.0460782051086399</c:v>
                </c:pt>
                <c:pt idx="432">
                  <c:v>2.98954105377197</c:v>
                </c:pt>
                <c:pt idx="433">
                  <c:v>3.56606197357178</c:v>
                </c:pt>
                <c:pt idx="434">
                  <c:v>3.2850718498229998</c:v>
                </c:pt>
                <c:pt idx="435">
                  <c:v>6.0540742874145499</c:v>
                </c:pt>
                <c:pt idx="436">
                  <c:v>9.6872138977050799</c:v>
                </c:pt>
                <c:pt idx="437">
                  <c:v>9.6946735382080096</c:v>
                </c:pt>
                <c:pt idx="438">
                  <c:v>6.6786556243896502</c:v>
                </c:pt>
                <c:pt idx="439">
                  <c:v>6.67747259140015</c:v>
                </c:pt>
                <c:pt idx="440">
                  <c:v>5.9534277915954599</c:v>
                </c:pt>
                <c:pt idx="441">
                  <c:v>9.7008914947509801</c:v>
                </c:pt>
                <c:pt idx="442">
                  <c:v>6.2986431121826199</c:v>
                </c:pt>
                <c:pt idx="443">
                  <c:v>6.79776906967163</c:v>
                </c:pt>
                <c:pt idx="444">
                  <c:v>7.3585228919982901</c:v>
                </c:pt>
                <c:pt idx="445">
                  <c:v>7.6473846435546902</c:v>
                </c:pt>
                <c:pt idx="446">
                  <c:v>7.3640232086181596</c:v>
                </c:pt>
                <c:pt idx="447">
                  <c:v>7.8464527130126998</c:v>
                </c:pt>
                <c:pt idx="448">
                  <c:v>9.5174188613891602</c:v>
                </c:pt>
                <c:pt idx="449">
                  <c:v>7.9346795082092303</c:v>
                </c:pt>
                <c:pt idx="450">
                  <c:v>8.9559440612793004</c:v>
                </c:pt>
                <c:pt idx="451">
                  <c:v>9.66754150390625</c:v>
                </c:pt>
                <c:pt idx="452">
                  <c:v>9.6456165313720703</c:v>
                </c:pt>
                <c:pt idx="453">
                  <c:v>8.9654216766357404</c:v>
                </c:pt>
                <c:pt idx="454">
                  <c:v>8.0004119873046893</c:v>
                </c:pt>
                <c:pt idx="455">
                  <c:v>8.0004119873046893</c:v>
                </c:pt>
                <c:pt idx="456">
                  <c:v>8.3579778671264702</c:v>
                </c:pt>
                <c:pt idx="457">
                  <c:v>8.1165866851806605</c:v>
                </c:pt>
                <c:pt idx="458">
                  <c:v>10.573305130004901</c:v>
                </c:pt>
                <c:pt idx="459">
                  <c:v>10.674643516540501</c:v>
                </c:pt>
                <c:pt idx="460">
                  <c:v>10.711098670959499</c:v>
                </c:pt>
                <c:pt idx="461">
                  <c:v>10.729395866394</c:v>
                </c:pt>
                <c:pt idx="462">
                  <c:v>5.9937381744384801</c:v>
                </c:pt>
                <c:pt idx="463">
                  <c:v>7.00988864898682</c:v>
                </c:pt>
                <c:pt idx="464">
                  <c:v>4.24137687683106</c:v>
                </c:pt>
                <c:pt idx="465">
                  <c:v>7.00988864898682</c:v>
                </c:pt>
                <c:pt idx="466">
                  <c:v>6.9594659805297896</c:v>
                </c:pt>
                <c:pt idx="467">
                  <c:v>7.2202048301696804</c:v>
                </c:pt>
                <c:pt idx="468">
                  <c:v>3.3189945220947301</c:v>
                </c:pt>
                <c:pt idx="469">
                  <c:v>3.30728340148926</c:v>
                </c:pt>
                <c:pt idx="470">
                  <c:v>3.9617507457733199</c:v>
                </c:pt>
                <c:pt idx="471">
                  <c:v>7.0028038024902299</c:v>
                </c:pt>
                <c:pt idx="472">
                  <c:v>7.0861783027648899</c:v>
                </c:pt>
                <c:pt idx="473">
                  <c:v>7.1792311668395996</c:v>
                </c:pt>
                <c:pt idx="474">
                  <c:v>7.0784811973571804</c:v>
                </c:pt>
                <c:pt idx="475">
                  <c:v>3.3189945220947301</c:v>
                </c:pt>
                <c:pt idx="476">
                  <c:v>5.0759534835815403</c:v>
                </c:pt>
                <c:pt idx="477">
                  <c:v>6.6534771919250497</c:v>
                </c:pt>
                <c:pt idx="478">
                  <c:v>6.5323867797851598</c:v>
                </c:pt>
                <c:pt idx="479">
                  <c:v>7.2512969970703098</c:v>
                </c:pt>
                <c:pt idx="480">
                  <c:v>7.0861783027648899</c:v>
                </c:pt>
                <c:pt idx="481">
                  <c:v>7.4058141708373997</c:v>
                </c:pt>
                <c:pt idx="482">
                  <c:v>6.9931893348693901</c:v>
                </c:pt>
                <c:pt idx="483">
                  <c:v>7.18878126144409</c:v>
                </c:pt>
                <c:pt idx="484">
                  <c:v>7.2060003280639702</c:v>
                </c:pt>
                <c:pt idx="485">
                  <c:v>7.1792311668395996</c:v>
                </c:pt>
                <c:pt idx="486">
                  <c:v>7.1906485557556197</c:v>
                </c:pt>
                <c:pt idx="487">
                  <c:v>7.1651611328125</c:v>
                </c:pt>
                <c:pt idx="488">
                  <c:v>7.18349266052246</c:v>
                </c:pt>
                <c:pt idx="489">
                  <c:v>7.2202048301696804</c:v>
                </c:pt>
                <c:pt idx="490">
                  <c:v>7.0928306579589799</c:v>
                </c:pt>
                <c:pt idx="491">
                  <c:v>7.35998487472534</c:v>
                </c:pt>
                <c:pt idx="492">
                  <c:v>7.3204021453857404</c:v>
                </c:pt>
                <c:pt idx="493">
                  <c:v>7.2156910896301296</c:v>
                </c:pt>
              </c:numCache>
            </c:numRef>
          </c:xVal>
          <c:yVal>
            <c:numRef>
              <c:f>Combined!$E$2:$E$495</c:f>
              <c:numCache>
                <c:formatCode>General</c:formatCode>
                <c:ptCount val="494"/>
                <c:pt idx="0">
                  <c:v>3.7</c:v>
                </c:pt>
                <c:pt idx="1">
                  <c:v>3.86</c:v>
                </c:pt>
                <c:pt idx="2">
                  <c:v>3.49</c:v>
                </c:pt>
                <c:pt idx="3">
                  <c:v>3.57</c:v>
                </c:pt>
                <c:pt idx="4">
                  <c:v>2.92</c:v>
                </c:pt>
                <c:pt idx="5">
                  <c:v>3.8</c:v>
                </c:pt>
                <c:pt idx="6">
                  <c:v>3.43</c:v>
                </c:pt>
                <c:pt idx="7">
                  <c:v>3.54</c:v>
                </c:pt>
                <c:pt idx="8">
                  <c:v>4.09</c:v>
                </c:pt>
                <c:pt idx="9">
                  <c:v>2.96</c:v>
                </c:pt>
                <c:pt idx="10">
                  <c:v>3.55</c:v>
                </c:pt>
                <c:pt idx="11">
                  <c:v>5.41</c:v>
                </c:pt>
                <c:pt idx="12">
                  <c:v>1.49</c:v>
                </c:pt>
                <c:pt idx="13">
                  <c:v>1.89</c:v>
                </c:pt>
                <c:pt idx="14">
                  <c:v>2.06</c:v>
                </c:pt>
                <c:pt idx="15">
                  <c:v>3.22</c:v>
                </c:pt>
                <c:pt idx="16">
                  <c:v>2.16</c:v>
                </c:pt>
                <c:pt idx="17">
                  <c:v>2.13</c:v>
                </c:pt>
                <c:pt idx="18">
                  <c:v>2.44</c:v>
                </c:pt>
                <c:pt idx="19">
                  <c:v>2.16</c:v>
                </c:pt>
                <c:pt idx="20">
                  <c:v>2.38</c:v>
                </c:pt>
                <c:pt idx="21">
                  <c:v>1.89</c:v>
                </c:pt>
                <c:pt idx="22">
                  <c:v>2</c:v>
                </c:pt>
                <c:pt idx="23">
                  <c:v>1.91</c:v>
                </c:pt>
                <c:pt idx="24">
                  <c:v>2.12</c:v>
                </c:pt>
                <c:pt idx="25">
                  <c:v>2.31</c:v>
                </c:pt>
                <c:pt idx="26">
                  <c:v>2.4900000000000002</c:v>
                </c:pt>
                <c:pt idx="27">
                  <c:v>1.97</c:v>
                </c:pt>
                <c:pt idx="28">
                  <c:v>1.95</c:v>
                </c:pt>
                <c:pt idx="29">
                  <c:v>2.2000000000000002</c:v>
                </c:pt>
                <c:pt idx="30">
                  <c:v>1.88</c:v>
                </c:pt>
                <c:pt idx="31">
                  <c:v>1.84</c:v>
                </c:pt>
                <c:pt idx="32">
                  <c:v>1.69</c:v>
                </c:pt>
                <c:pt idx="33">
                  <c:v>1.91</c:v>
                </c:pt>
                <c:pt idx="34">
                  <c:v>2.11</c:v>
                </c:pt>
                <c:pt idx="35">
                  <c:v>2.5</c:v>
                </c:pt>
                <c:pt idx="36">
                  <c:v>2.12</c:v>
                </c:pt>
                <c:pt idx="37">
                  <c:v>1.78</c:v>
                </c:pt>
                <c:pt idx="38">
                  <c:v>1.66</c:v>
                </c:pt>
                <c:pt idx="39">
                  <c:v>2.5099999999999998</c:v>
                </c:pt>
                <c:pt idx="40">
                  <c:v>5.49</c:v>
                </c:pt>
                <c:pt idx="41">
                  <c:v>2.64</c:v>
                </c:pt>
                <c:pt idx="42">
                  <c:v>4.4000000000000004</c:v>
                </c:pt>
                <c:pt idx="43">
                  <c:v>2.54</c:v>
                </c:pt>
                <c:pt idx="44">
                  <c:v>1.96</c:v>
                </c:pt>
                <c:pt idx="45">
                  <c:v>2.15</c:v>
                </c:pt>
                <c:pt idx="46">
                  <c:v>2.94</c:v>
                </c:pt>
                <c:pt idx="47">
                  <c:v>1.49</c:v>
                </c:pt>
                <c:pt idx="48">
                  <c:v>1.61</c:v>
                </c:pt>
                <c:pt idx="49">
                  <c:v>1.82</c:v>
                </c:pt>
                <c:pt idx="50">
                  <c:v>2.09</c:v>
                </c:pt>
                <c:pt idx="51">
                  <c:v>3.77</c:v>
                </c:pt>
                <c:pt idx="52">
                  <c:v>3.74</c:v>
                </c:pt>
                <c:pt idx="53">
                  <c:v>2.76</c:v>
                </c:pt>
                <c:pt idx="54">
                  <c:v>1.81</c:v>
                </c:pt>
                <c:pt idx="55">
                  <c:v>3.14</c:v>
                </c:pt>
                <c:pt idx="56">
                  <c:v>6.08</c:v>
                </c:pt>
                <c:pt idx="57">
                  <c:v>3.2</c:v>
                </c:pt>
                <c:pt idx="58">
                  <c:v>4.6500000000000004</c:v>
                </c:pt>
                <c:pt idx="59">
                  <c:v>2.58</c:v>
                </c:pt>
                <c:pt idx="60">
                  <c:v>2.09</c:v>
                </c:pt>
                <c:pt idx="61">
                  <c:v>2.2999999999999998</c:v>
                </c:pt>
                <c:pt idx="62">
                  <c:v>3.24</c:v>
                </c:pt>
                <c:pt idx="63">
                  <c:v>1.97</c:v>
                </c:pt>
                <c:pt idx="64">
                  <c:v>1.78</c:v>
                </c:pt>
                <c:pt idx="65">
                  <c:v>1.96</c:v>
                </c:pt>
                <c:pt idx="66">
                  <c:v>2.13</c:v>
                </c:pt>
                <c:pt idx="67">
                  <c:v>2.84</c:v>
                </c:pt>
                <c:pt idx="68">
                  <c:v>4.5</c:v>
                </c:pt>
                <c:pt idx="69">
                  <c:v>6.07</c:v>
                </c:pt>
                <c:pt idx="70">
                  <c:v>1.79</c:v>
                </c:pt>
                <c:pt idx="71">
                  <c:v>3.78</c:v>
                </c:pt>
                <c:pt idx="72">
                  <c:v>9.9499999999999993</c:v>
                </c:pt>
                <c:pt idx="73">
                  <c:v>2.09</c:v>
                </c:pt>
                <c:pt idx="74">
                  <c:v>2.2999999999999998</c:v>
                </c:pt>
                <c:pt idx="75">
                  <c:v>6</c:v>
                </c:pt>
                <c:pt idx="76">
                  <c:v>1.96</c:v>
                </c:pt>
                <c:pt idx="77">
                  <c:v>1.84</c:v>
                </c:pt>
                <c:pt idx="78">
                  <c:v>2.0299999999999998</c:v>
                </c:pt>
                <c:pt idx="79">
                  <c:v>3.18</c:v>
                </c:pt>
                <c:pt idx="80">
                  <c:v>3.11</c:v>
                </c:pt>
                <c:pt idx="81">
                  <c:v>8.14</c:v>
                </c:pt>
                <c:pt idx="82">
                  <c:v>7.29</c:v>
                </c:pt>
                <c:pt idx="83">
                  <c:v>3.1</c:v>
                </c:pt>
                <c:pt idx="84">
                  <c:v>7.29</c:v>
                </c:pt>
                <c:pt idx="85">
                  <c:v>10.25</c:v>
                </c:pt>
                <c:pt idx="86">
                  <c:v>6.01</c:v>
                </c:pt>
                <c:pt idx="87">
                  <c:v>7.85</c:v>
                </c:pt>
                <c:pt idx="88">
                  <c:v>2.96</c:v>
                </c:pt>
                <c:pt idx="89">
                  <c:v>4.4800000000000004</c:v>
                </c:pt>
                <c:pt idx="90">
                  <c:v>3.09</c:v>
                </c:pt>
                <c:pt idx="91">
                  <c:v>6.21</c:v>
                </c:pt>
                <c:pt idx="92">
                  <c:v>5.05</c:v>
                </c:pt>
                <c:pt idx="93">
                  <c:v>3.95</c:v>
                </c:pt>
                <c:pt idx="94">
                  <c:v>3.23</c:v>
                </c:pt>
                <c:pt idx="95">
                  <c:v>5.05</c:v>
                </c:pt>
                <c:pt idx="96">
                  <c:v>4.4000000000000004</c:v>
                </c:pt>
                <c:pt idx="97">
                  <c:v>8.0500000000000007</c:v>
                </c:pt>
                <c:pt idx="98">
                  <c:v>3.09</c:v>
                </c:pt>
                <c:pt idx="99">
                  <c:v>1.56</c:v>
                </c:pt>
                <c:pt idx="100">
                  <c:v>3.21</c:v>
                </c:pt>
                <c:pt idx="101">
                  <c:v>5.13</c:v>
                </c:pt>
                <c:pt idx="102">
                  <c:v>2.83</c:v>
                </c:pt>
                <c:pt idx="103">
                  <c:v>3.85</c:v>
                </c:pt>
                <c:pt idx="104">
                  <c:v>2.8</c:v>
                </c:pt>
                <c:pt idx="105">
                  <c:v>2.4900000000000002</c:v>
                </c:pt>
                <c:pt idx="106">
                  <c:v>2.0699999999999998</c:v>
                </c:pt>
                <c:pt idx="107">
                  <c:v>3.07</c:v>
                </c:pt>
                <c:pt idx="108">
                  <c:v>2.6</c:v>
                </c:pt>
                <c:pt idx="109">
                  <c:v>2.4900000000000002</c:v>
                </c:pt>
                <c:pt idx="110">
                  <c:v>3.08</c:v>
                </c:pt>
                <c:pt idx="111">
                  <c:v>2.31</c:v>
                </c:pt>
                <c:pt idx="112">
                  <c:v>2.54</c:v>
                </c:pt>
                <c:pt idx="113">
                  <c:v>4.24</c:v>
                </c:pt>
                <c:pt idx="114">
                  <c:v>6.55</c:v>
                </c:pt>
                <c:pt idx="115">
                  <c:v>1.59</c:v>
                </c:pt>
                <c:pt idx="116">
                  <c:v>5.94</c:v>
                </c:pt>
                <c:pt idx="117">
                  <c:v>7.96</c:v>
                </c:pt>
                <c:pt idx="118">
                  <c:v>4.95</c:v>
                </c:pt>
                <c:pt idx="119">
                  <c:v>7.62</c:v>
                </c:pt>
                <c:pt idx="120">
                  <c:v>2.77</c:v>
                </c:pt>
                <c:pt idx="121">
                  <c:v>2.58</c:v>
                </c:pt>
                <c:pt idx="122">
                  <c:v>1.98</c:v>
                </c:pt>
                <c:pt idx="123">
                  <c:v>4.82</c:v>
                </c:pt>
                <c:pt idx="124">
                  <c:v>4.29</c:v>
                </c:pt>
                <c:pt idx="125">
                  <c:v>2.4700000000000002</c:v>
                </c:pt>
                <c:pt idx="126">
                  <c:v>2.85</c:v>
                </c:pt>
                <c:pt idx="127">
                  <c:v>2.34</c:v>
                </c:pt>
                <c:pt idx="128">
                  <c:v>2.89</c:v>
                </c:pt>
                <c:pt idx="129">
                  <c:v>7.58</c:v>
                </c:pt>
                <c:pt idx="130">
                  <c:v>3.8500000000000005</c:v>
                </c:pt>
                <c:pt idx="131">
                  <c:v>1.46</c:v>
                </c:pt>
                <c:pt idx="132">
                  <c:v>4.41</c:v>
                </c:pt>
                <c:pt idx="133">
                  <c:v>6.1000000000000005</c:v>
                </c:pt>
                <c:pt idx="134">
                  <c:v>3.4299999999999997</c:v>
                </c:pt>
                <c:pt idx="135">
                  <c:v>2.9400000000000004</c:v>
                </c:pt>
                <c:pt idx="136">
                  <c:v>3.08</c:v>
                </c:pt>
                <c:pt idx="137">
                  <c:v>3.42</c:v>
                </c:pt>
                <c:pt idx="138">
                  <c:v>2.39</c:v>
                </c:pt>
                <c:pt idx="139">
                  <c:v>2.6900000000000004</c:v>
                </c:pt>
                <c:pt idx="140">
                  <c:v>3.1799999999999997</c:v>
                </c:pt>
                <c:pt idx="141">
                  <c:v>3.41</c:v>
                </c:pt>
                <c:pt idx="142">
                  <c:v>3.91</c:v>
                </c:pt>
                <c:pt idx="143">
                  <c:v>2.7700000000000005</c:v>
                </c:pt>
                <c:pt idx="144">
                  <c:v>2.33</c:v>
                </c:pt>
                <c:pt idx="145">
                  <c:v>5.82</c:v>
                </c:pt>
                <c:pt idx="146">
                  <c:v>2.41</c:v>
                </c:pt>
                <c:pt idx="147">
                  <c:v>2.46</c:v>
                </c:pt>
                <c:pt idx="148">
                  <c:v>3.12</c:v>
                </c:pt>
                <c:pt idx="149">
                  <c:v>2.12</c:v>
                </c:pt>
                <c:pt idx="150">
                  <c:v>2.1</c:v>
                </c:pt>
                <c:pt idx="151">
                  <c:v>4.07</c:v>
                </c:pt>
                <c:pt idx="152">
                  <c:v>3.9799999999999995</c:v>
                </c:pt>
                <c:pt idx="153">
                  <c:v>1.33</c:v>
                </c:pt>
                <c:pt idx="154">
                  <c:v>4.24</c:v>
                </c:pt>
                <c:pt idx="155">
                  <c:v>5.96</c:v>
                </c:pt>
                <c:pt idx="156">
                  <c:v>3.2199999999999998</c:v>
                </c:pt>
                <c:pt idx="157">
                  <c:v>2.98</c:v>
                </c:pt>
                <c:pt idx="158">
                  <c:v>2.78</c:v>
                </c:pt>
                <c:pt idx="159">
                  <c:v>3.01</c:v>
                </c:pt>
                <c:pt idx="160">
                  <c:v>2.0499999999999998</c:v>
                </c:pt>
                <c:pt idx="161">
                  <c:v>2.38</c:v>
                </c:pt>
                <c:pt idx="162">
                  <c:v>2.82</c:v>
                </c:pt>
                <c:pt idx="163">
                  <c:v>3.07</c:v>
                </c:pt>
                <c:pt idx="164">
                  <c:v>3.54</c:v>
                </c:pt>
                <c:pt idx="165">
                  <c:v>2.4499999999999997</c:v>
                </c:pt>
                <c:pt idx="166">
                  <c:v>2.0699999999999998</c:v>
                </c:pt>
                <c:pt idx="167">
                  <c:v>4.99</c:v>
                </c:pt>
                <c:pt idx="168">
                  <c:v>3.64</c:v>
                </c:pt>
                <c:pt idx="169">
                  <c:v>3.63</c:v>
                </c:pt>
                <c:pt idx="170">
                  <c:v>2.78</c:v>
                </c:pt>
                <c:pt idx="171">
                  <c:v>3.5</c:v>
                </c:pt>
                <c:pt idx="172">
                  <c:v>2.15</c:v>
                </c:pt>
                <c:pt idx="173">
                  <c:v>2.89</c:v>
                </c:pt>
                <c:pt idx="174">
                  <c:v>3.08</c:v>
                </c:pt>
                <c:pt idx="175">
                  <c:v>3.2</c:v>
                </c:pt>
                <c:pt idx="176">
                  <c:v>3.64</c:v>
                </c:pt>
                <c:pt idx="177">
                  <c:v>3.86</c:v>
                </c:pt>
                <c:pt idx="178">
                  <c:v>2.25</c:v>
                </c:pt>
                <c:pt idx="179">
                  <c:v>5.19</c:v>
                </c:pt>
                <c:pt idx="180">
                  <c:v>7.98</c:v>
                </c:pt>
                <c:pt idx="181">
                  <c:v>1.91</c:v>
                </c:pt>
                <c:pt idx="182">
                  <c:v>5.25</c:v>
                </c:pt>
                <c:pt idx="183">
                  <c:v>8.9499999999999993</c:v>
                </c:pt>
                <c:pt idx="184">
                  <c:v>5.28</c:v>
                </c:pt>
                <c:pt idx="185">
                  <c:v>6.31</c:v>
                </c:pt>
                <c:pt idx="186">
                  <c:v>3.27</c:v>
                </c:pt>
                <c:pt idx="187">
                  <c:v>4.05</c:v>
                </c:pt>
                <c:pt idx="188">
                  <c:v>2.66</c:v>
                </c:pt>
                <c:pt idx="189">
                  <c:v>5.07</c:v>
                </c:pt>
                <c:pt idx="190">
                  <c:v>3.37</c:v>
                </c:pt>
                <c:pt idx="191">
                  <c:v>3.81</c:v>
                </c:pt>
                <c:pt idx="192">
                  <c:v>4.16</c:v>
                </c:pt>
                <c:pt idx="193">
                  <c:v>4.4400000000000004</c:v>
                </c:pt>
                <c:pt idx="194">
                  <c:v>2.88</c:v>
                </c:pt>
                <c:pt idx="195">
                  <c:v>7.24</c:v>
                </c:pt>
                <c:pt idx="196">
                  <c:v>8.3600000000000012</c:v>
                </c:pt>
                <c:pt idx="197">
                  <c:v>1.3299999999999998</c:v>
                </c:pt>
                <c:pt idx="198">
                  <c:v>4.7699999999999996</c:v>
                </c:pt>
                <c:pt idx="199">
                  <c:v>7.56</c:v>
                </c:pt>
                <c:pt idx="200">
                  <c:v>3.59</c:v>
                </c:pt>
                <c:pt idx="201">
                  <c:v>3.5199999999999996</c:v>
                </c:pt>
                <c:pt idx="202">
                  <c:v>2.8</c:v>
                </c:pt>
                <c:pt idx="203">
                  <c:v>3.5999999999999996</c:v>
                </c:pt>
                <c:pt idx="204">
                  <c:v>2.17</c:v>
                </c:pt>
                <c:pt idx="205">
                  <c:v>2.67</c:v>
                </c:pt>
                <c:pt idx="206">
                  <c:v>3.13</c:v>
                </c:pt>
                <c:pt idx="207">
                  <c:v>3.2299999999999995</c:v>
                </c:pt>
                <c:pt idx="208">
                  <c:v>3.63</c:v>
                </c:pt>
                <c:pt idx="209">
                  <c:v>4.0599999999999996</c:v>
                </c:pt>
                <c:pt idx="210">
                  <c:v>2.2400000000000002</c:v>
                </c:pt>
                <c:pt idx="211">
                  <c:v>5.2399999999999993</c:v>
                </c:pt>
                <c:pt idx="212">
                  <c:v>11.41</c:v>
                </c:pt>
                <c:pt idx="213">
                  <c:v>6.85</c:v>
                </c:pt>
                <c:pt idx="214">
                  <c:v>10.579999999999998</c:v>
                </c:pt>
                <c:pt idx="215">
                  <c:v>5.26</c:v>
                </c:pt>
                <c:pt idx="216">
                  <c:v>6.37</c:v>
                </c:pt>
                <c:pt idx="217">
                  <c:v>2.79</c:v>
                </c:pt>
                <c:pt idx="218">
                  <c:v>7.65</c:v>
                </c:pt>
                <c:pt idx="219">
                  <c:v>2.25</c:v>
                </c:pt>
                <c:pt idx="220">
                  <c:v>5.6</c:v>
                </c:pt>
                <c:pt idx="221">
                  <c:v>7.13</c:v>
                </c:pt>
                <c:pt idx="222">
                  <c:v>3.88</c:v>
                </c:pt>
                <c:pt idx="223">
                  <c:v>3.61</c:v>
                </c:pt>
                <c:pt idx="224">
                  <c:v>6.56</c:v>
                </c:pt>
                <c:pt idx="225">
                  <c:v>3.48</c:v>
                </c:pt>
                <c:pt idx="226">
                  <c:v>8.1900000000000013</c:v>
                </c:pt>
                <c:pt idx="227">
                  <c:v>12.08</c:v>
                </c:pt>
                <c:pt idx="228">
                  <c:v>1.51</c:v>
                </c:pt>
                <c:pt idx="229">
                  <c:v>5.8999999999999995</c:v>
                </c:pt>
                <c:pt idx="230">
                  <c:v>9.48</c:v>
                </c:pt>
                <c:pt idx="231">
                  <c:v>4.55</c:v>
                </c:pt>
                <c:pt idx="232">
                  <c:v>4.41</c:v>
                </c:pt>
                <c:pt idx="233">
                  <c:v>3</c:v>
                </c:pt>
                <c:pt idx="234">
                  <c:v>5.3199999999999994</c:v>
                </c:pt>
                <c:pt idx="235">
                  <c:v>2.2400000000000002</c:v>
                </c:pt>
                <c:pt idx="236">
                  <c:v>3.2399999999999993</c:v>
                </c:pt>
                <c:pt idx="237">
                  <c:v>3.58</c:v>
                </c:pt>
                <c:pt idx="238">
                  <c:v>3.7199999999999998</c:v>
                </c:pt>
                <c:pt idx="239">
                  <c:v>6.72</c:v>
                </c:pt>
                <c:pt idx="240">
                  <c:v>2.6100000000000003</c:v>
                </c:pt>
                <c:pt idx="241">
                  <c:v>5.68</c:v>
                </c:pt>
                <c:pt idx="242">
                  <c:v>16.61</c:v>
                </c:pt>
                <c:pt idx="243">
                  <c:v>6.7</c:v>
                </c:pt>
                <c:pt idx="244">
                  <c:v>14.15</c:v>
                </c:pt>
                <c:pt idx="245">
                  <c:v>12.58</c:v>
                </c:pt>
                <c:pt idx="246">
                  <c:v>11.79</c:v>
                </c:pt>
                <c:pt idx="247">
                  <c:v>6.94</c:v>
                </c:pt>
                <c:pt idx="248">
                  <c:v>16.5</c:v>
                </c:pt>
                <c:pt idx="249">
                  <c:v>6.89</c:v>
                </c:pt>
                <c:pt idx="250">
                  <c:v>9.36</c:v>
                </c:pt>
                <c:pt idx="251">
                  <c:v>12.03</c:v>
                </c:pt>
                <c:pt idx="252">
                  <c:v>10.81</c:v>
                </c:pt>
                <c:pt idx="253">
                  <c:v>7.1</c:v>
                </c:pt>
                <c:pt idx="254">
                  <c:v>18.829999999999998</c:v>
                </c:pt>
                <c:pt idx="255">
                  <c:v>10.7</c:v>
                </c:pt>
                <c:pt idx="256">
                  <c:v>12.03</c:v>
                </c:pt>
                <c:pt idx="257">
                  <c:v>23.93</c:v>
                </c:pt>
                <c:pt idx="258">
                  <c:v>17.399999999999999</c:v>
                </c:pt>
                <c:pt idx="259">
                  <c:v>22.44</c:v>
                </c:pt>
                <c:pt idx="260">
                  <c:v>23.91</c:v>
                </c:pt>
                <c:pt idx="261">
                  <c:v>23.11</c:v>
                </c:pt>
                <c:pt idx="262">
                  <c:v>18.43</c:v>
                </c:pt>
                <c:pt idx="263">
                  <c:v>15.95</c:v>
                </c:pt>
                <c:pt idx="264">
                  <c:v>16.18</c:v>
                </c:pt>
                <c:pt idx="265">
                  <c:v>16.97</c:v>
                </c:pt>
                <c:pt idx="266">
                  <c:v>18.489999999999998</c:v>
                </c:pt>
                <c:pt idx="267">
                  <c:v>18.760000000000002</c:v>
                </c:pt>
                <c:pt idx="268">
                  <c:v>16.899999999999999</c:v>
                </c:pt>
                <c:pt idx="269">
                  <c:v>27.5</c:v>
                </c:pt>
                <c:pt idx="270">
                  <c:v>19.760000000000002</c:v>
                </c:pt>
                <c:pt idx="271">
                  <c:v>18.41</c:v>
                </c:pt>
                <c:pt idx="272">
                  <c:v>11.28</c:v>
                </c:pt>
                <c:pt idx="273">
                  <c:v>2.36</c:v>
                </c:pt>
                <c:pt idx="274">
                  <c:v>5.27</c:v>
                </c:pt>
                <c:pt idx="275">
                  <c:v>6.35</c:v>
                </c:pt>
                <c:pt idx="276">
                  <c:v>5.67</c:v>
                </c:pt>
                <c:pt idx="277">
                  <c:v>4.1100000000000003</c:v>
                </c:pt>
                <c:pt idx="278">
                  <c:v>11.27</c:v>
                </c:pt>
                <c:pt idx="279">
                  <c:v>4.18</c:v>
                </c:pt>
                <c:pt idx="280">
                  <c:v>8.1300000000000008</c:v>
                </c:pt>
                <c:pt idx="281">
                  <c:v>20.6</c:v>
                </c:pt>
                <c:pt idx="282">
                  <c:v>16.03</c:v>
                </c:pt>
                <c:pt idx="283">
                  <c:v>20.23</c:v>
                </c:pt>
                <c:pt idx="284">
                  <c:v>17.79</c:v>
                </c:pt>
                <c:pt idx="285">
                  <c:v>16.350000000000001</c:v>
                </c:pt>
                <c:pt idx="286">
                  <c:v>10.62</c:v>
                </c:pt>
                <c:pt idx="287">
                  <c:v>19.41</c:v>
                </c:pt>
                <c:pt idx="288">
                  <c:v>12.45</c:v>
                </c:pt>
                <c:pt idx="289">
                  <c:v>12.48</c:v>
                </c:pt>
                <c:pt idx="290">
                  <c:v>15.95</c:v>
                </c:pt>
                <c:pt idx="291">
                  <c:v>15.66</c:v>
                </c:pt>
                <c:pt idx="292">
                  <c:v>10.43</c:v>
                </c:pt>
                <c:pt idx="293">
                  <c:v>24.6</c:v>
                </c:pt>
                <c:pt idx="294">
                  <c:v>14.76</c:v>
                </c:pt>
                <c:pt idx="295">
                  <c:v>13.24</c:v>
                </c:pt>
                <c:pt idx="296">
                  <c:v>37.819999999999993</c:v>
                </c:pt>
                <c:pt idx="297">
                  <c:v>35.56</c:v>
                </c:pt>
                <c:pt idx="298">
                  <c:v>33.200000000000003</c:v>
                </c:pt>
                <c:pt idx="299">
                  <c:v>36.89</c:v>
                </c:pt>
                <c:pt idx="300">
                  <c:v>32.379999999999995</c:v>
                </c:pt>
                <c:pt idx="301">
                  <c:v>31.220000000000002</c:v>
                </c:pt>
                <c:pt idx="302">
                  <c:v>35.840000000000003</c:v>
                </c:pt>
                <c:pt idx="303">
                  <c:v>31.41</c:v>
                </c:pt>
                <c:pt idx="304">
                  <c:v>31.16</c:v>
                </c:pt>
                <c:pt idx="305">
                  <c:v>32.340000000000003</c:v>
                </c:pt>
                <c:pt idx="306">
                  <c:v>34.269999999999996</c:v>
                </c:pt>
                <c:pt idx="307">
                  <c:v>30.84</c:v>
                </c:pt>
                <c:pt idx="308">
                  <c:v>39.92</c:v>
                </c:pt>
                <c:pt idx="309">
                  <c:v>32.950000000000003</c:v>
                </c:pt>
                <c:pt idx="310">
                  <c:v>34.180000000000007</c:v>
                </c:pt>
                <c:pt idx="311">
                  <c:v>11.13</c:v>
                </c:pt>
                <c:pt idx="312">
                  <c:v>6.58</c:v>
                </c:pt>
                <c:pt idx="313">
                  <c:v>11.04</c:v>
                </c:pt>
                <c:pt idx="314">
                  <c:v>12.49</c:v>
                </c:pt>
                <c:pt idx="315">
                  <c:v>8.6199999999999992</c:v>
                </c:pt>
                <c:pt idx="316">
                  <c:v>9.32</c:v>
                </c:pt>
                <c:pt idx="317">
                  <c:v>12.29</c:v>
                </c:pt>
                <c:pt idx="318">
                  <c:v>7.2</c:v>
                </c:pt>
                <c:pt idx="319">
                  <c:v>9.27</c:v>
                </c:pt>
                <c:pt idx="320">
                  <c:v>6.38</c:v>
                </c:pt>
                <c:pt idx="321">
                  <c:v>4.74</c:v>
                </c:pt>
                <c:pt idx="322">
                  <c:v>7.66</c:v>
                </c:pt>
                <c:pt idx="323">
                  <c:v>4.1399999999999997</c:v>
                </c:pt>
                <c:pt idx="324">
                  <c:v>7.84</c:v>
                </c:pt>
                <c:pt idx="325">
                  <c:v>3.79</c:v>
                </c:pt>
                <c:pt idx="326">
                  <c:v>2.19</c:v>
                </c:pt>
                <c:pt idx="327">
                  <c:v>3.6500000000000004</c:v>
                </c:pt>
                <c:pt idx="328">
                  <c:v>5.93</c:v>
                </c:pt>
                <c:pt idx="329">
                  <c:v>4.28</c:v>
                </c:pt>
                <c:pt idx="330">
                  <c:v>2.59</c:v>
                </c:pt>
                <c:pt idx="331">
                  <c:v>4.01</c:v>
                </c:pt>
                <c:pt idx="332">
                  <c:v>2.68</c:v>
                </c:pt>
                <c:pt idx="333">
                  <c:v>4.03</c:v>
                </c:pt>
                <c:pt idx="334">
                  <c:v>5.07</c:v>
                </c:pt>
                <c:pt idx="335">
                  <c:v>3.16</c:v>
                </c:pt>
                <c:pt idx="336">
                  <c:v>2.7</c:v>
                </c:pt>
                <c:pt idx="337">
                  <c:v>3.14</c:v>
                </c:pt>
                <c:pt idx="338">
                  <c:v>3.26</c:v>
                </c:pt>
                <c:pt idx="339">
                  <c:v>4.5</c:v>
                </c:pt>
                <c:pt idx="340">
                  <c:v>9.76</c:v>
                </c:pt>
                <c:pt idx="341">
                  <c:v>1.58</c:v>
                </c:pt>
                <c:pt idx="342">
                  <c:v>8.15</c:v>
                </c:pt>
                <c:pt idx="343">
                  <c:v>10.039999999999999</c:v>
                </c:pt>
                <c:pt idx="344">
                  <c:v>6.63</c:v>
                </c:pt>
                <c:pt idx="345">
                  <c:v>6.84</c:v>
                </c:pt>
                <c:pt idx="346">
                  <c:v>2.94</c:v>
                </c:pt>
                <c:pt idx="347">
                  <c:v>8.77</c:v>
                </c:pt>
                <c:pt idx="348">
                  <c:v>2.33</c:v>
                </c:pt>
                <c:pt idx="349">
                  <c:v>4.95</c:v>
                </c:pt>
                <c:pt idx="350">
                  <c:v>5.78</c:v>
                </c:pt>
                <c:pt idx="351">
                  <c:v>4.9800000000000004</c:v>
                </c:pt>
                <c:pt idx="352">
                  <c:v>3.96</c:v>
                </c:pt>
                <c:pt idx="353">
                  <c:v>7.8800000000000008</c:v>
                </c:pt>
                <c:pt idx="354">
                  <c:v>3.34</c:v>
                </c:pt>
                <c:pt idx="355">
                  <c:v>6.82</c:v>
                </c:pt>
                <c:pt idx="356">
                  <c:v>1.5299999999999998</c:v>
                </c:pt>
                <c:pt idx="357">
                  <c:v>5.24</c:v>
                </c:pt>
                <c:pt idx="358">
                  <c:v>7.52</c:v>
                </c:pt>
                <c:pt idx="359">
                  <c:v>6.08</c:v>
                </c:pt>
                <c:pt idx="360">
                  <c:v>3.07</c:v>
                </c:pt>
                <c:pt idx="361">
                  <c:v>6.21</c:v>
                </c:pt>
                <c:pt idx="362">
                  <c:v>2.34</c:v>
                </c:pt>
                <c:pt idx="363">
                  <c:v>4.58</c:v>
                </c:pt>
                <c:pt idx="364">
                  <c:v>5.43</c:v>
                </c:pt>
                <c:pt idx="365">
                  <c:v>3.6100000000000003</c:v>
                </c:pt>
                <c:pt idx="366">
                  <c:v>2.89</c:v>
                </c:pt>
                <c:pt idx="367">
                  <c:v>3.08</c:v>
                </c:pt>
                <c:pt idx="368">
                  <c:v>3.32</c:v>
                </c:pt>
                <c:pt idx="369">
                  <c:v>5.89</c:v>
                </c:pt>
                <c:pt idx="370">
                  <c:v>21.89</c:v>
                </c:pt>
                <c:pt idx="371">
                  <c:v>13.88</c:v>
                </c:pt>
                <c:pt idx="372">
                  <c:v>16.28</c:v>
                </c:pt>
                <c:pt idx="373">
                  <c:v>12.65</c:v>
                </c:pt>
                <c:pt idx="374">
                  <c:v>9.49</c:v>
                </c:pt>
                <c:pt idx="375">
                  <c:v>16.690000000000001</c:v>
                </c:pt>
                <c:pt idx="376">
                  <c:v>8.48</c:v>
                </c:pt>
                <c:pt idx="377">
                  <c:v>9.4499999999999993</c:v>
                </c:pt>
                <c:pt idx="378">
                  <c:v>10.28</c:v>
                </c:pt>
                <c:pt idx="379">
                  <c:v>9.67</c:v>
                </c:pt>
                <c:pt idx="380">
                  <c:v>16.05</c:v>
                </c:pt>
                <c:pt idx="381">
                  <c:v>12.07</c:v>
                </c:pt>
                <c:pt idx="382">
                  <c:v>29.63</c:v>
                </c:pt>
                <c:pt idx="383">
                  <c:v>33.94</c:v>
                </c:pt>
                <c:pt idx="384">
                  <c:v>29.25</c:v>
                </c:pt>
                <c:pt idx="385">
                  <c:v>23.94</c:v>
                </c:pt>
                <c:pt idx="386">
                  <c:v>32.159999999999997</c:v>
                </c:pt>
                <c:pt idx="387">
                  <c:v>22.26</c:v>
                </c:pt>
                <c:pt idx="388">
                  <c:v>25.77</c:v>
                </c:pt>
                <c:pt idx="389">
                  <c:v>25.12</c:v>
                </c:pt>
                <c:pt idx="390">
                  <c:v>35.46</c:v>
                </c:pt>
                <c:pt idx="391">
                  <c:v>26.22</c:v>
                </c:pt>
                <c:pt idx="392">
                  <c:v>6.01</c:v>
                </c:pt>
                <c:pt idx="393">
                  <c:v>8.85</c:v>
                </c:pt>
                <c:pt idx="394">
                  <c:v>11.08</c:v>
                </c:pt>
                <c:pt idx="395">
                  <c:v>3.6799999999999997</c:v>
                </c:pt>
                <c:pt idx="396">
                  <c:v>4.78</c:v>
                </c:pt>
                <c:pt idx="397">
                  <c:v>2.8200000000000003</c:v>
                </c:pt>
                <c:pt idx="398">
                  <c:v>12.15</c:v>
                </c:pt>
                <c:pt idx="399">
                  <c:v>7.3599999999999994</c:v>
                </c:pt>
                <c:pt idx="400">
                  <c:v>5.3800000000000008</c:v>
                </c:pt>
                <c:pt idx="401">
                  <c:v>4.3899999999999997</c:v>
                </c:pt>
                <c:pt idx="402">
                  <c:v>4.45</c:v>
                </c:pt>
                <c:pt idx="403">
                  <c:v>5.03</c:v>
                </c:pt>
                <c:pt idx="404">
                  <c:v>16.64</c:v>
                </c:pt>
                <c:pt idx="405">
                  <c:v>4.6400000000000006</c:v>
                </c:pt>
                <c:pt idx="406">
                  <c:v>3.42</c:v>
                </c:pt>
                <c:pt idx="407">
                  <c:v>3.9099999999999997</c:v>
                </c:pt>
                <c:pt idx="408">
                  <c:v>4.9000000000000004</c:v>
                </c:pt>
                <c:pt idx="409">
                  <c:v>2.69</c:v>
                </c:pt>
                <c:pt idx="410">
                  <c:v>4.12</c:v>
                </c:pt>
                <c:pt idx="411">
                  <c:v>5.08</c:v>
                </c:pt>
                <c:pt idx="412">
                  <c:v>4.2300000000000004</c:v>
                </c:pt>
                <c:pt idx="413">
                  <c:v>4.3600000000000003</c:v>
                </c:pt>
                <c:pt idx="414">
                  <c:v>3.79</c:v>
                </c:pt>
                <c:pt idx="415">
                  <c:v>2.4499999999999997</c:v>
                </c:pt>
                <c:pt idx="416">
                  <c:v>8.66</c:v>
                </c:pt>
                <c:pt idx="417" formatCode="0.00">
                  <c:v>3.6745406824146984</c:v>
                </c:pt>
                <c:pt idx="418" formatCode="0.00">
                  <c:v>5.7414698162729652</c:v>
                </c:pt>
                <c:pt idx="419" formatCode="0.00">
                  <c:v>5.6430446194225716</c:v>
                </c:pt>
                <c:pt idx="420" formatCode="0.00">
                  <c:v>4.4947506561679793</c:v>
                </c:pt>
                <c:pt idx="421" formatCode="0.00">
                  <c:v>3.4448818897637796</c:v>
                </c:pt>
                <c:pt idx="422" formatCode="0.00">
                  <c:v>5.3477690288713902</c:v>
                </c:pt>
                <c:pt idx="423" formatCode="0.00">
                  <c:v>4.363517060367454</c:v>
                </c:pt>
                <c:pt idx="424" formatCode="0.00">
                  <c:v>2.5918635170603674</c:v>
                </c:pt>
                <c:pt idx="425" formatCode="0.00">
                  <c:v>3.8385826771653537</c:v>
                </c:pt>
                <c:pt idx="426" formatCode="0.00">
                  <c:v>2.1325459317585302</c:v>
                </c:pt>
                <c:pt idx="427" formatCode="0.00">
                  <c:v>2.7887139107611545</c:v>
                </c:pt>
                <c:pt idx="428" formatCode="0.00">
                  <c:v>3.969816272965879</c:v>
                </c:pt>
                <c:pt idx="429" formatCode="0.00">
                  <c:v>2.8543307086614171</c:v>
                </c:pt>
                <c:pt idx="430" formatCode="0.00">
                  <c:v>5.3805774278215219</c:v>
                </c:pt>
                <c:pt idx="431" formatCode="0.00">
                  <c:v>4.0026246719160099</c:v>
                </c:pt>
                <c:pt idx="432" formatCode="0.00">
                  <c:v>2.001312335958005</c:v>
                </c:pt>
                <c:pt idx="433" formatCode="0.00">
                  <c:v>2.9527559055118111</c:v>
                </c:pt>
                <c:pt idx="434" formatCode="0.00">
                  <c:v>3.6417322834645671</c:v>
                </c:pt>
                <c:pt idx="435" formatCode="0.00">
                  <c:v>5.577427821522309</c:v>
                </c:pt>
                <c:pt idx="436" formatCode="0.00">
                  <c:v>10.14</c:v>
                </c:pt>
                <c:pt idx="437" formatCode="0.00">
                  <c:v>8.39</c:v>
                </c:pt>
                <c:pt idx="438" formatCode="0.00">
                  <c:v>6.45</c:v>
                </c:pt>
                <c:pt idx="439" formatCode="0.00">
                  <c:v>6.53</c:v>
                </c:pt>
                <c:pt idx="440" formatCode="0.00">
                  <c:v>6.95</c:v>
                </c:pt>
                <c:pt idx="441" formatCode="0.00">
                  <c:v>7.71</c:v>
                </c:pt>
                <c:pt idx="442" formatCode="0.00">
                  <c:v>5.64</c:v>
                </c:pt>
                <c:pt idx="443" formatCode="0.00">
                  <c:v>5.41</c:v>
                </c:pt>
                <c:pt idx="444" formatCode="0.00">
                  <c:v>4.8899999999999997</c:v>
                </c:pt>
                <c:pt idx="445" formatCode="0.00">
                  <c:v>5.6</c:v>
                </c:pt>
                <c:pt idx="446" formatCode="0.00">
                  <c:v>3.63</c:v>
                </c:pt>
                <c:pt idx="447" formatCode="0.00">
                  <c:v>5.56</c:v>
                </c:pt>
                <c:pt idx="448" formatCode="0.00">
                  <c:v>7.41</c:v>
                </c:pt>
                <c:pt idx="449" formatCode="0.00">
                  <c:v>5.45</c:v>
                </c:pt>
                <c:pt idx="450" formatCode="0.00">
                  <c:v>6.96</c:v>
                </c:pt>
                <c:pt idx="451" formatCode="0.00">
                  <c:v>5.75</c:v>
                </c:pt>
                <c:pt idx="452" formatCode="0.00">
                  <c:v>7.18</c:v>
                </c:pt>
                <c:pt idx="453" formatCode="0.00">
                  <c:v>6</c:v>
                </c:pt>
                <c:pt idx="454" formatCode="0.00">
                  <c:v>5.08</c:v>
                </c:pt>
                <c:pt idx="455" formatCode="0.00">
                  <c:v>5.52</c:v>
                </c:pt>
                <c:pt idx="456" formatCode="0.00">
                  <c:v>6.44</c:v>
                </c:pt>
                <c:pt idx="457" formatCode="0.00">
                  <c:v>6.18</c:v>
                </c:pt>
                <c:pt idx="458" formatCode="0.00">
                  <c:v>6.36</c:v>
                </c:pt>
                <c:pt idx="459" formatCode="0.00">
                  <c:v>8.66</c:v>
                </c:pt>
                <c:pt idx="460" formatCode="0.00">
                  <c:v>8.77</c:v>
                </c:pt>
                <c:pt idx="461" formatCode="0.00">
                  <c:v>8.8699999999999992</c:v>
                </c:pt>
                <c:pt idx="462" formatCode="0.00">
                  <c:v>5.5200131233595799</c:v>
                </c:pt>
                <c:pt idx="463" formatCode="0.00">
                  <c:v>7.1522309711286089</c:v>
                </c:pt>
                <c:pt idx="464" formatCode="0.00">
                  <c:v>3.9041994750656164</c:v>
                </c:pt>
                <c:pt idx="465" formatCode="0.00">
                  <c:v>7.0866141732283463</c:v>
                </c:pt>
                <c:pt idx="466" formatCode="0.00">
                  <c:v>7.3162729658792642</c:v>
                </c:pt>
                <c:pt idx="467" formatCode="0.00">
                  <c:v>7.9068241469816272</c:v>
                </c:pt>
                <c:pt idx="468" formatCode="0.00">
                  <c:v>3.0839895013123355</c:v>
                </c:pt>
                <c:pt idx="469" formatCode="0.00">
                  <c:v>2.7887139107611545</c:v>
                </c:pt>
                <c:pt idx="470" formatCode="0.00">
                  <c:v>5.4133858267716528</c:v>
                </c:pt>
                <c:pt idx="471" formatCode="0.00">
                  <c:v>8.1036745406824142</c:v>
                </c:pt>
                <c:pt idx="472" formatCode="0.00">
                  <c:v>7.8083989501312328</c:v>
                </c:pt>
                <c:pt idx="473" formatCode="0.00">
                  <c:v>7.6115485564304457</c:v>
                </c:pt>
                <c:pt idx="474" formatCode="0.00">
                  <c:v>7.6115485564304457</c:v>
                </c:pt>
                <c:pt idx="475" formatCode="0.00">
                  <c:v>3.0839895013123355</c:v>
                </c:pt>
                <c:pt idx="476" formatCode="0.00">
                  <c:v>6.0039370078740157</c:v>
                </c:pt>
                <c:pt idx="477" formatCode="0.00">
                  <c:v>5.6102362204724407</c:v>
                </c:pt>
                <c:pt idx="478" formatCode="0.00">
                  <c:v>3.9041994750656164</c:v>
                </c:pt>
                <c:pt idx="479" formatCode="0.00">
                  <c:v>6.8897637795275593</c:v>
                </c:pt>
                <c:pt idx="480" formatCode="0.00">
                  <c:v>7.8083989501312328</c:v>
                </c:pt>
                <c:pt idx="481" formatCode="0.00">
                  <c:v>7.8083989501312328</c:v>
                </c:pt>
                <c:pt idx="482" formatCode="0.00">
                  <c:v>7.8083989501312328</c:v>
                </c:pt>
                <c:pt idx="483" formatCode="0.00">
                  <c:v>8.0052493438320198</c:v>
                </c:pt>
                <c:pt idx="484" formatCode="0.00">
                  <c:v>7.5131233595800522</c:v>
                </c:pt>
                <c:pt idx="485" formatCode="0.00">
                  <c:v>7.6115485564304457</c:v>
                </c:pt>
                <c:pt idx="486" formatCode="0.00">
                  <c:v>7.5131233595800522</c:v>
                </c:pt>
                <c:pt idx="487" formatCode="0.00">
                  <c:v>7.6115485564304457</c:v>
                </c:pt>
                <c:pt idx="488" formatCode="0.00">
                  <c:v>7.7099737532808401</c:v>
                </c:pt>
                <c:pt idx="489" formatCode="0.00">
                  <c:v>7.9068241469816272</c:v>
                </c:pt>
                <c:pt idx="490" formatCode="0.00">
                  <c:v>7.9068241469816272</c:v>
                </c:pt>
                <c:pt idx="491" formatCode="0.00">
                  <c:v>8.1036745406824142</c:v>
                </c:pt>
                <c:pt idx="492" formatCode="0.00">
                  <c:v>8.7926509186351716</c:v>
                </c:pt>
                <c:pt idx="493" formatCode="0.00">
                  <c:v>6.7913385826771648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8AF1-47B3-A021-2E332F31B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860511"/>
        <c:axId val="1022865087"/>
      </c:scatterChart>
      <c:valAx>
        <c:axId val="1022860511"/>
        <c:scaling>
          <c:orientation val="minMax"/>
          <c:max val="45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Modeled</a:t>
                </a:r>
                <a:r>
                  <a:rPr lang="en-US" sz="11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water surface elevation (NAVD88, ft)</a:t>
                </a:r>
                <a:endParaRPr lang="en-US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2865087"/>
        <c:crosses val="autoZero"/>
        <c:crossBetween val="midCat"/>
        <c:majorUnit val="5"/>
      </c:valAx>
      <c:valAx>
        <c:axId val="1022865087"/>
        <c:scaling>
          <c:orientation val="minMax"/>
          <c:max val="4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baseline="0">
                    <a:solidFill>
                      <a:schemeClr val="tx1"/>
                    </a:solidFill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Observed water surface elevation (NAVD88, ft)</a:t>
                </a:r>
                <a:endParaRPr lang="en-US" sz="1100">
                  <a:solidFill>
                    <a:schemeClr val="tx1"/>
                  </a:solidFill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2.5748233393902684E-2"/>
              <c:y val="0.14098778518069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286051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ayout>
        <c:manualLayout>
          <c:xMode val="edge"/>
          <c:yMode val="edge"/>
          <c:x val="5.3632545931758528E-2"/>
          <c:y val="0.79525284722341871"/>
          <c:w val="0.89238012767585639"/>
          <c:h val="0.20197711438664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444500</xdr:colOff>
      <xdr:row>12</xdr:row>
      <xdr:rowOff>133350</xdr:rowOff>
    </xdr:from>
    <xdr:to>
      <xdr:col>17</xdr:col>
      <xdr:colOff>139700</xdr:colOff>
      <xdr:row>37</xdr:row>
      <xdr:rowOff>161926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C792FB4-8EE7-4513-A246-0A0519833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50801</xdr:colOff>
      <xdr:row>19</xdr:row>
      <xdr:rowOff>158750</xdr:rowOff>
    </xdr:from>
    <xdr:to>
      <xdr:col>12</xdr:col>
      <xdr:colOff>260351</xdr:colOff>
      <xdr:row>21</xdr:row>
      <xdr:rowOff>148112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91B203B-2314-4294-AAC2-B187A3D78127}"/>
            </a:ext>
          </a:extLst>
        </xdr:cNvPr>
        <xdr:cNvSpPr txBox="1"/>
      </xdr:nvSpPr>
      <xdr:spPr>
        <a:xfrm>
          <a:off x="7359651" y="3657600"/>
          <a:ext cx="819150" cy="3576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900">
              <a:latin typeface="Times New Roman" panose="02020603050405020304" pitchFamily="18" charset="0"/>
              <a:cs typeface="Times New Roman" panose="02020603050405020304" pitchFamily="18" charset="0"/>
            </a:rPr>
            <a:t>RMSE = 2.10</a:t>
          </a:r>
        </a:p>
        <a:p>
          <a:pPr algn="ctr"/>
          <a:r>
            <a:rPr lang="en-US" sz="900">
              <a:latin typeface="Times New Roman" panose="02020603050405020304" pitchFamily="18" charset="0"/>
              <a:cs typeface="Times New Roman" panose="02020603050405020304" pitchFamily="18" charset="0"/>
            </a:rPr>
            <a:t>BIAS = 0.611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527050</xdr:colOff>
      <xdr:row>2</xdr:row>
      <xdr:rowOff>114300</xdr:rowOff>
    </xdr:from>
    <xdr:to>
      <xdr:col>14</xdr:col>
      <xdr:colOff>603250</xdr:colOff>
      <xdr:row>34</xdr:row>
      <xdr:rowOff>25400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17D582D-9D65-4928-D87D-88E757AFDA18}"/>
            </a:ext>
          </a:extLst>
        </xdr:cNvPr>
        <xdr:cNvGrpSpPr/>
      </xdr:nvGrpSpPr>
      <xdr:grpSpPr>
        <a:xfrm>
          <a:off x="4194175" y="479425"/>
          <a:ext cx="4965700" cy="5753100"/>
          <a:chOff x="4184650" y="482600"/>
          <a:chExt cx="4953000" cy="58039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9F5F94BA-D414-4ADD-BFA6-2EC9C7BABCD8}"/>
              </a:ext>
            </a:extLst>
          </xdr:cNvPr>
          <xdr:cNvGraphicFramePr>
            <a:graphicFrameLocks/>
          </xdr:cNvGraphicFramePr>
        </xdr:nvGraphicFramePr>
        <xdr:xfrm>
          <a:off x="4184650" y="482600"/>
          <a:ext cx="4953000" cy="5803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28E1948-A6F8-4441-8CAB-421FE15B7636}"/>
              </a:ext>
            </a:extLst>
          </xdr:cNvPr>
          <xdr:cNvSpPr txBox="1"/>
        </xdr:nvSpPr>
        <xdr:spPr>
          <a:xfrm>
            <a:off x="5181600" y="1631950"/>
            <a:ext cx="819150" cy="392340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en-US" sz="900">
                <a:latin typeface="Times New Roman" panose="02020603050405020304" pitchFamily="18" charset="0"/>
                <a:cs typeface="Times New Roman" panose="02020603050405020304" pitchFamily="18" charset="0"/>
              </a:rPr>
              <a:t>RMSE = 2.10</a:t>
            </a:r>
          </a:p>
          <a:p>
            <a:pPr algn="ctr"/>
            <a:r>
              <a:rPr lang="en-US" sz="900">
                <a:latin typeface="Times New Roman" panose="02020603050405020304" pitchFamily="18" charset="0"/>
                <a:cs typeface="Times New Roman" panose="02020603050405020304" pitchFamily="18" charset="0"/>
              </a:rPr>
              <a:t>BIAS = 0.611 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12</xdr:row>
      <xdr:rowOff>104774</xdr:rowOff>
    </xdr:from>
    <xdr:to>
      <xdr:col>16</xdr:col>
      <xdr:colOff>104775</xdr:colOff>
      <xdr:row>40</xdr:row>
      <xdr:rowOff>171450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FBF5C77-00CE-4578-95D3-F6065110DBCC}"/>
            </a:ext>
          </a:extLst>
        </xdr:cNvPr>
        <xdr:cNvGrpSpPr/>
      </xdr:nvGrpSpPr>
      <xdr:grpSpPr>
        <a:xfrm>
          <a:off x="5589361" y="2281917"/>
          <a:ext cx="4557485" cy="5146676"/>
          <a:chOff x="5572125" y="1082674"/>
          <a:chExt cx="4572000" cy="463232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5D69E272-7027-E8F9-4A31-6D0757D084A5}"/>
              </a:ext>
            </a:extLst>
          </xdr:cNvPr>
          <xdr:cNvGraphicFramePr/>
        </xdr:nvGraphicFramePr>
        <xdr:xfrm>
          <a:off x="5572125" y="1082674"/>
          <a:ext cx="4572000" cy="463232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172E78D6-48EA-5EBC-557A-02BFEB55793E}"/>
              </a:ext>
            </a:extLst>
          </xdr:cNvPr>
          <xdr:cNvSpPr txBox="1"/>
        </xdr:nvSpPr>
        <xdr:spPr>
          <a:xfrm>
            <a:off x="6480608" y="2292350"/>
            <a:ext cx="830099" cy="357662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US" sz="900">
                <a:latin typeface="Times New Roman" panose="02020603050405020304" pitchFamily="18" charset="0"/>
                <a:cs typeface="Times New Roman" panose="02020603050405020304" pitchFamily="18" charset="0"/>
              </a:rPr>
              <a:t>RMSE = 1.46</a:t>
            </a:r>
          </a:p>
          <a:p>
            <a:pPr algn="ctr"/>
            <a:r>
              <a:rPr lang="en-US" sz="900">
                <a:latin typeface="Times New Roman" panose="02020603050405020304" pitchFamily="18" charset="0"/>
                <a:cs typeface="Times New Roman" panose="02020603050405020304" pitchFamily="18" charset="0"/>
              </a:rPr>
              <a:t>BIAS = 0.619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190500</xdr:colOff>
      <xdr:row>9</xdr:row>
      <xdr:rowOff>139700</xdr:rowOff>
    </xdr:from>
    <xdr:to>
      <xdr:col>23</xdr:col>
      <xdr:colOff>266700</xdr:colOff>
      <xdr:row>42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600C8-FA54-4BD5-B58B-F135BA234E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</xdr:colOff>
      <xdr:row>17</xdr:row>
      <xdr:rowOff>95250</xdr:rowOff>
    </xdr:from>
    <xdr:to>
      <xdr:col>18</xdr:col>
      <xdr:colOff>209551</xdr:colOff>
      <xdr:row>19</xdr:row>
      <xdr:rowOff>84612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BAA936-D056-4A9D-BA9D-018CAC90E7B9}"/>
            </a:ext>
          </a:extLst>
        </xdr:cNvPr>
        <xdr:cNvSpPr txBox="1"/>
      </xdr:nvSpPr>
      <xdr:spPr>
        <a:xfrm>
          <a:off x="10363201" y="3225800"/>
          <a:ext cx="819150" cy="3576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900">
              <a:latin typeface="Times New Roman" panose="02020603050405020304" pitchFamily="18" charset="0"/>
              <a:cs typeface="Times New Roman" panose="02020603050405020304" pitchFamily="18" charset="0"/>
            </a:rPr>
            <a:t>RMSE = 2.01</a:t>
          </a:r>
        </a:p>
        <a:p>
          <a:pPr algn="ctr"/>
          <a:r>
            <a:rPr lang="en-US" sz="900">
              <a:latin typeface="Times New Roman" panose="02020603050405020304" pitchFamily="18" charset="0"/>
              <a:cs typeface="Times New Roman" panose="02020603050405020304" pitchFamily="18" charset="0"/>
            </a:rPr>
            <a:t>BIAS = 0.612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5D97-1C5A-4121-8296-AE0EAF07CEEA}">
  <dimension ref="A1:W418"/>
  <sheetViews>
    <sheetView topLeftCell="A9" workbookViewId="0">
      <selection activeCell="J11" sqref="J11"/>
    </sheetView>
  </sheetViews>
  <sheetFormatPr defaultRowHeight="14.5" x14ac:dyDescent="0.35"/>
  <cols>
    <col min="1" max="1" width="11.453125" customWidth="1"/>
    <col min="2" max="2" width="10.453125" style="7" customWidth="1"/>
    <col min="4" max="4" width="13.1796875" bestFit="1" customWidth="1"/>
  </cols>
  <sheetData>
    <row r="1" spans="1:23" x14ac:dyDescent="0.35">
      <c r="B1" s="7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t="s">
        <v>6</v>
      </c>
      <c r="I1" t="s">
        <v>7</v>
      </c>
      <c r="J1" t="s">
        <v>15</v>
      </c>
      <c r="K1">
        <v>0</v>
      </c>
      <c r="L1">
        <v>0</v>
      </c>
      <c r="N1" s="3">
        <f>K1+$J$2</f>
        <v>2.098748124421244</v>
      </c>
      <c r="O1" s="3">
        <f>L1-$J$2</f>
        <v>-2.098748124421244</v>
      </c>
      <c r="R1">
        <v>1</v>
      </c>
      <c r="S1" t="s">
        <v>8</v>
      </c>
      <c r="T1" s="3">
        <v>3.165</v>
      </c>
      <c r="V1" t="s">
        <v>9</v>
      </c>
      <c r="W1">
        <v>8.1999999999999993</v>
      </c>
    </row>
    <row r="2" spans="1:23" x14ac:dyDescent="0.35">
      <c r="B2" s="12" t="s">
        <v>10</v>
      </c>
      <c r="C2" t="s">
        <v>11</v>
      </c>
      <c r="D2" s="6">
        <v>1.7448360919952399</v>
      </c>
      <c r="E2">
        <v>3.7</v>
      </c>
      <c r="F2" s="3">
        <f>D2-E2</f>
        <v>-1.9551639080047603</v>
      </c>
      <c r="G2" s="3">
        <f>F2^2</f>
        <v>3.8226659071644464</v>
      </c>
      <c r="H2" s="4">
        <f>AVERAGE(F2:F418)</f>
        <v>0.61106011587938969</v>
      </c>
      <c r="I2">
        <f>_xlfn.STDEV.S(D2:D418)</f>
        <v>7.8497244446988708</v>
      </c>
      <c r="J2" s="3">
        <f>H9</f>
        <v>2.098748124421244</v>
      </c>
      <c r="K2">
        <v>1</v>
      </c>
      <c r="L2">
        <v>1</v>
      </c>
      <c r="N2" s="3">
        <f>K2+$J$2</f>
        <v>3.098748124421244</v>
      </c>
      <c r="O2" s="3">
        <f>L2-$J$2</f>
        <v>-1.098748124421244</v>
      </c>
      <c r="R2">
        <v>2</v>
      </c>
      <c r="S2" t="s">
        <v>12</v>
      </c>
      <c r="T2" s="3">
        <v>6.06</v>
      </c>
    </row>
    <row r="3" spans="1:23" x14ac:dyDescent="0.35">
      <c r="B3" s="12"/>
      <c r="C3" t="s">
        <v>13</v>
      </c>
      <c r="D3" s="6">
        <v>2.0340173244476301</v>
      </c>
      <c r="E3">
        <v>3.86</v>
      </c>
      <c r="F3" s="3">
        <f t="shared" ref="F3:F66" si="0">D3-E3</f>
        <v>-1.8259826755523698</v>
      </c>
      <c r="G3" s="3">
        <f t="shared" ref="G3:G66" si="1">F3^2</f>
        <v>3.3342127314173911</v>
      </c>
      <c r="K3">
        <v>2</v>
      </c>
      <c r="L3">
        <v>2</v>
      </c>
      <c r="N3" s="3">
        <f t="shared" ref="N3:N51" si="2">K3+$J$2</f>
        <v>4.0987481244212436</v>
      </c>
      <c r="O3" s="3">
        <f t="shared" ref="O3:O51" si="3">L3-$J$2</f>
        <v>-9.8748124421244032E-2</v>
      </c>
    </row>
    <row r="4" spans="1:23" x14ac:dyDescent="0.35">
      <c r="B4" s="12"/>
      <c r="C4" t="s">
        <v>14</v>
      </c>
      <c r="D4" s="6">
        <v>1.56845927238464</v>
      </c>
      <c r="E4">
        <v>3.49</v>
      </c>
      <c r="F4" s="3">
        <f t="shared" si="0"/>
        <v>-1.9215407276153602</v>
      </c>
      <c r="G4" s="3">
        <f t="shared" si="1"/>
        <v>3.6923187678845681</v>
      </c>
      <c r="K4">
        <v>3</v>
      </c>
      <c r="L4">
        <v>3</v>
      </c>
      <c r="N4" s="3">
        <f t="shared" si="2"/>
        <v>5.0987481244212436</v>
      </c>
      <c r="O4" s="3">
        <f t="shared" si="3"/>
        <v>0.90125187557875597</v>
      </c>
      <c r="S4" t="s">
        <v>15</v>
      </c>
      <c r="T4" s="5">
        <v>2.098748124421244</v>
      </c>
    </row>
    <row r="5" spans="1:23" x14ac:dyDescent="0.35">
      <c r="B5" s="12"/>
      <c r="C5" t="s">
        <v>16</v>
      </c>
      <c r="D5" s="6">
        <v>1.7747837305069001</v>
      </c>
      <c r="E5">
        <v>3.57</v>
      </c>
      <c r="F5" s="3">
        <f t="shared" si="0"/>
        <v>-1.7952162694930998</v>
      </c>
      <c r="G5" s="3">
        <f t="shared" si="1"/>
        <v>3.2228014542527217</v>
      </c>
      <c r="K5">
        <v>4</v>
      </c>
      <c r="L5">
        <v>4</v>
      </c>
      <c r="N5" s="3">
        <f t="shared" si="2"/>
        <v>6.0987481244212436</v>
      </c>
      <c r="O5" s="3">
        <f t="shared" si="3"/>
        <v>1.901251875578756</v>
      </c>
    </row>
    <row r="6" spans="1:23" x14ac:dyDescent="0.35">
      <c r="B6" s="12"/>
      <c r="C6" t="s">
        <v>17</v>
      </c>
      <c r="D6" s="6">
        <v>1.2953345775604199</v>
      </c>
      <c r="E6">
        <v>2.92</v>
      </c>
      <c r="F6" s="3">
        <f t="shared" si="0"/>
        <v>-1.62466542243958</v>
      </c>
      <c r="G6" s="3">
        <f t="shared" si="1"/>
        <v>2.6395377348707791</v>
      </c>
      <c r="K6">
        <v>5</v>
      </c>
      <c r="L6">
        <v>5</v>
      </c>
      <c r="N6" s="3">
        <f t="shared" si="2"/>
        <v>7.0987481244212436</v>
      </c>
      <c r="O6" s="3">
        <f t="shared" si="3"/>
        <v>2.901251875578756</v>
      </c>
      <c r="S6" t="s">
        <v>18</v>
      </c>
      <c r="T6">
        <v>0.61106011587938969</v>
      </c>
    </row>
    <row r="7" spans="1:23" x14ac:dyDescent="0.35">
      <c r="A7">
        <v>1</v>
      </c>
      <c r="B7" s="12"/>
      <c r="C7" t="s">
        <v>19</v>
      </c>
      <c r="D7" s="6">
        <v>1.48227643966675</v>
      </c>
      <c r="E7">
        <v>3.8</v>
      </c>
      <c r="F7" s="3">
        <f t="shared" si="0"/>
        <v>-2.31772356033325</v>
      </c>
      <c r="G7" s="3">
        <f t="shared" si="1"/>
        <v>5.3718425021238367</v>
      </c>
      <c r="K7">
        <v>6</v>
      </c>
      <c r="L7">
        <v>6</v>
      </c>
      <c r="N7" s="3">
        <f t="shared" si="2"/>
        <v>8.0987481244212436</v>
      </c>
      <c r="O7" s="3">
        <f t="shared" si="3"/>
        <v>3.901251875578756</v>
      </c>
    </row>
    <row r="8" spans="1:23" x14ac:dyDescent="0.35">
      <c r="B8" s="12"/>
      <c r="C8" t="s">
        <v>20</v>
      </c>
      <c r="D8" s="6">
        <v>1.7548912763595601</v>
      </c>
      <c r="E8">
        <v>3.43</v>
      </c>
      <c r="F8" s="3">
        <f t="shared" si="0"/>
        <v>-1.6751087236404401</v>
      </c>
      <c r="G8" s="3">
        <f t="shared" si="1"/>
        <v>2.8059892360163041</v>
      </c>
      <c r="H8" s="1" t="s">
        <v>15</v>
      </c>
      <c r="K8">
        <v>7</v>
      </c>
      <c r="L8">
        <v>7</v>
      </c>
      <c r="N8" s="3">
        <f t="shared" si="2"/>
        <v>9.0987481244212436</v>
      </c>
      <c r="O8" s="3">
        <f t="shared" si="3"/>
        <v>4.9012518755787564</v>
      </c>
    </row>
    <row r="9" spans="1:23" x14ac:dyDescent="0.35">
      <c r="B9" s="12"/>
      <c r="C9" t="s">
        <v>21</v>
      </c>
      <c r="D9" s="6">
        <v>1.8587521314621001</v>
      </c>
      <c r="E9">
        <v>3.54</v>
      </c>
      <c r="F9" s="3">
        <f t="shared" si="0"/>
        <v>-1.6812478685379</v>
      </c>
      <c r="G9" s="3">
        <f t="shared" si="1"/>
        <v>2.826594395463232</v>
      </c>
      <c r="H9" s="11">
        <f>AVERAGE(G2:G418)^0.5</f>
        <v>2.098748124421244</v>
      </c>
      <c r="K9">
        <v>8</v>
      </c>
      <c r="L9">
        <v>8</v>
      </c>
      <c r="N9" s="3">
        <f t="shared" si="2"/>
        <v>10.098748124421244</v>
      </c>
      <c r="O9" s="3">
        <f t="shared" si="3"/>
        <v>5.9012518755787564</v>
      </c>
    </row>
    <row r="10" spans="1:23" x14ac:dyDescent="0.35">
      <c r="B10" s="12"/>
      <c r="C10" t="s">
        <v>22</v>
      </c>
      <c r="D10" s="6">
        <v>2.88178634643555</v>
      </c>
      <c r="E10">
        <v>4.09</v>
      </c>
      <c r="F10" s="3">
        <f t="shared" si="0"/>
        <v>-1.2082136535644499</v>
      </c>
      <c r="G10" s="3">
        <f t="shared" si="1"/>
        <v>1.4597802326595566</v>
      </c>
      <c r="K10">
        <v>9</v>
      </c>
      <c r="L10">
        <v>9</v>
      </c>
      <c r="N10" s="3">
        <f t="shared" si="2"/>
        <v>11.098748124421244</v>
      </c>
      <c r="O10" s="3">
        <f t="shared" si="3"/>
        <v>6.9012518755787564</v>
      </c>
    </row>
    <row r="11" spans="1:23" x14ac:dyDescent="0.35">
      <c r="B11" s="12"/>
      <c r="C11" t="s">
        <v>23</v>
      </c>
      <c r="D11" s="6">
        <v>1.9542093276977499</v>
      </c>
      <c r="E11">
        <v>2.96</v>
      </c>
      <c r="F11" s="3">
        <f t="shared" si="0"/>
        <v>-1.0057906723022501</v>
      </c>
      <c r="G11" s="3">
        <f t="shared" si="1"/>
        <v>1.0116148764902122</v>
      </c>
      <c r="K11">
        <v>10</v>
      </c>
      <c r="L11">
        <v>10</v>
      </c>
      <c r="N11" s="3">
        <f t="shared" si="2"/>
        <v>12.098748124421244</v>
      </c>
      <c r="O11" s="3">
        <f t="shared" si="3"/>
        <v>7.9012518755787564</v>
      </c>
    </row>
    <row r="12" spans="1:23" x14ac:dyDescent="0.35">
      <c r="B12" s="12"/>
      <c r="C12" t="s">
        <v>24</v>
      </c>
      <c r="D12" s="6">
        <v>1.25166893005371</v>
      </c>
      <c r="E12">
        <v>3.55</v>
      </c>
      <c r="F12" s="3">
        <f t="shared" si="0"/>
        <v>-2.2983310699462898</v>
      </c>
      <c r="G12" s="3">
        <f t="shared" si="1"/>
        <v>5.2823257070804575</v>
      </c>
      <c r="K12">
        <v>11</v>
      </c>
      <c r="L12">
        <v>11</v>
      </c>
      <c r="N12" s="3">
        <f t="shared" si="2"/>
        <v>13.098748124421244</v>
      </c>
      <c r="O12" s="3">
        <f t="shared" si="3"/>
        <v>8.9012518755787564</v>
      </c>
    </row>
    <row r="13" spans="1:23" x14ac:dyDescent="0.35">
      <c r="A13" s="1"/>
      <c r="B13" s="12"/>
      <c r="C13" t="s">
        <v>25</v>
      </c>
      <c r="D13" s="6">
        <v>3.1537833213806201</v>
      </c>
      <c r="E13">
        <v>5.41</v>
      </c>
      <c r="F13" s="3">
        <f t="shared" si="0"/>
        <v>-2.25621667861938</v>
      </c>
      <c r="G13" s="3">
        <f t="shared" si="1"/>
        <v>5.0905137008802663</v>
      </c>
      <c r="K13">
        <v>12</v>
      </c>
      <c r="L13">
        <v>12</v>
      </c>
      <c r="N13" s="3">
        <f t="shared" si="2"/>
        <v>14.098748124421244</v>
      </c>
      <c r="O13" s="3">
        <f t="shared" si="3"/>
        <v>9.9012518755787564</v>
      </c>
    </row>
    <row r="14" spans="1:23" x14ac:dyDescent="0.35">
      <c r="B14" s="12" t="s">
        <v>26</v>
      </c>
      <c r="C14" t="s">
        <v>27</v>
      </c>
      <c r="D14" s="6">
        <v>3.5574634075164799</v>
      </c>
      <c r="E14">
        <v>1.49</v>
      </c>
      <c r="F14" s="3">
        <f t="shared" si="0"/>
        <v>2.0674634075164802</v>
      </c>
      <c r="G14" s="3">
        <f t="shared" si="1"/>
        <v>4.2744049414196557</v>
      </c>
      <c r="K14">
        <v>13</v>
      </c>
      <c r="L14">
        <v>13</v>
      </c>
      <c r="N14" s="3">
        <f t="shared" si="2"/>
        <v>15.098748124421244</v>
      </c>
      <c r="O14" s="3">
        <f t="shared" si="3"/>
        <v>10.901251875578756</v>
      </c>
    </row>
    <row r="15" spans="1:23" x14ac:dyDescent="0.35">
      <c r="B15" s="12"/>
      <c r="C15" t="s">
        <v>28</v>
      </c>
      <c r="D15" s="6">
        <v>1.0305161476135301</v>
      </c>
      <c r="E15">
        <v>1.89</v>
      </c>
      <c r="F15" s="3">
        <f t="shared" si="0"/>
        <v>-0.85948385238646985</v>
      </c>
      <c r="G15" s="3">
        <f t="shared" si="1"/>
        <v>0.73871249251308713</v>
      </c>
      <c r="K15">
        <v>14</v>
      </c>
      <c r="L15">
        <v>14</v>
      </c>
      <c r="N15" s="3">
        <f t="shared" si="2"/>
        <v>16.098748124421245</v>
      </c>
      <c r="O15" s="3">
        <f t="shared" si="3"/>
        <v>11.901251875578756</v>
      </c>
    </row>
    <row r="16" spans="1:23" x14ac:dyDescent="0.35">
      <c r="B16" s="12"/>
      <c r="C16" t="s">
        <v>29</v>
      </c>
      <c r="D16" s="6">
        <v>2.8905079364776598</v>
      </c>
      <c r="E16">
        <v>2.06</v>
      </c>
      <c r="F16" s="3">
        <f t="shared" si="0"/>
        <v>0.83050793647765975</v>
      </c>
      <c r="G16" s="3">
        <f t="shared" si="1"/>
        <v>0.68974343255238046</v>
      </c>
      <c r="K16">
        <v>15</v>
      </c>
      <c r="L16">
        <v>15</v>
      </c>
      <c r="N16" s="3">
        <f t="shared" si="2"/>
        <v>17.098748124421245</v>
      </c>
      <c r="O16" s="3">
        <f t="shared" si="3"/>
        <v>12.901251875578756</v>
      </c>
    </row>
    <row r="17" spans="1:15" x14ac:dyDescent="0.35">
      <c r="B17" s="12"/>
      <c r="C17" t="s">
        <v>30</v>
      </c>
      <c r="D17" s="6">
        <v>6.54313468933106</v>
      </c>
      <c r="E17">
        <v>3.22</v>
      </c>
      <c r="F17" s="3">
        <f t="shared" si="0"/>
        <v>3.3231346893310598</v>
      </c>
      <c r="G17" s="3">
        <f t="shared" si="1"/>
        <v>11.04322416343544</v>
      </c>
      <c r="K17">
        <v>16</v>
      </c>
      <c r="L17">
        <v>16</v>
      </c>
      <c r="N17" s="3">
        <f t="shared" si="2"/>
        <v>18.098748124421245</v>
      </c>
      <c r="O17" s="3">
        <f t="shared" si="3"/>
        <v>13.901251875578756</v>
      </c>
    </row>
    <row r="18" spans="1:15" x14ac:dyDescent="0.35">
      <c r="B18" s="12"/>
      <c r="C18" t="s">
        <v>11</v>
      </c>
      <c r="D18" s="6">
        <v>1.74316370487213</v>
      </c>
      <c r="E18">
        <v>2.16</v>
      </c>
      <c r="F18" s="3">
        <f t="shared" si="0"/>
        <v>-0.41683629512787013</v>
      </c>
      <c r="G18" s="3">
        <f t="shared" si="1"/>
        <v>0.17375249693592884</v>
      </c>
      <c r="K18">
        <v>17</v>
      </c>
      <c r="L18">
        <v>17</v>
      </c>
      <c r="N18" s="3">
        <f t="shared" si="2"/>
        <v>19.098748124421245</v>
      </c>
      <c r="O18" s="3">
        <f t="shared" si="3"/>
        <v>14.901251875578756</v>
      </c>
    </row>
    <row r="19" spans="1:15" x14ac:dyDescent="0.35">
      <c r="B19" s="12"/>
      <c r="C19" t="s">
        <v>13</v>
      </c>
      <c r="D19" s="6">
        <v>2.0504012107849099</v>
      </c>
      <c r="E19">
        <v>2.13</v>
      </c>
      <c r="F19" s="3">
        <f t="shared" si="0"/>
        <v>-7.9598789215090004E-2</v>
      </c>
      <c r="G19" s="3">
        <f t="shared" si="1"/>
        <v>6.335967244508329E-3</v>
      </c>
      <c r="K19">
        <v>18</v>
      </c>
      <c r="L19">
        <v>18</v>
      </c>
      <c r="N19" s="3">
        <f t="shared" si="2"/>
        <v>20.098748124421245</v>
      </c>
      <c r="O19" s="3">
        <f t="shared" si="3"/>
        <v>15.901251875578756</v>
      </c>
    </row>
    <row r="20" spans="1:15" x14ac:dyDescent="0.35">
      <c r="A20">
        <v>2</v>
      </c>
      <c r="B20" s="12"/>
      <c r="C20" t="s">
        <v>14</v>
      </c>
      <c r="D20" s="6">
        <v>1.5601729154586801</v>
      </c>
      <c r="E20">
        <v>2.44</v>
      </c>
      <c r="F20" s="3">
        <f t="shared" si="0"/>
        <v>-0.87982708454131986</v>
      </c>
      <c r="G20" s="3">
        <f t="shared" si="1"/>
        <v>0.77409569869247885</v>
      </c>
      <c r="K20">
        <v>19</v>
      </c>
      <c r="L20">
        <v>19</v>
      </c>
      <c r="N20" s="3">
        <f t="shared" si="2"/>
        <v>21.098748124421245</v>
      </c>
      <c r="O20" s="3">
        <f t="shared" si="3"/>
        <v>16.901251875578755</v>
      </c>
    </row>
    <row r="21" spans="1:15" x14ac:dyDescent="0.35">
      <c r="B21" s="12"/>
      <c r="C21" t="s">
        <v>16</v>
      </c>
      <c r="D21" s="6">
        <v>1.7643300294876101</v>
      </c>
      <c r="E21">
        <v>2.16</v>
      </c>
      <c r="F21" s="3">
        <f t="shared" si="0"/>
        <v>-0.39566997051239006</v>
      </c>
      <c r="G21" s="3">
        <f t="shared" si="1"/>
        <v>0.15655472556527561</v>
      </c>
      <c r="K21">
        <v>20</v>
      </c>
      <c r="L21">
        <v>20</v>
      </c>
      <c r="N21" s="3">
        <f t="shared" si="2"/>
        <v>22.098748124421245</v>
      </c>
      <c r="O21" s="3">
        <f t="shared" si="3"/>
        <v>17.901251875578755</v>
      </c>
    </row>
    <row r="22" spans="1:15" x14ac:dyDescent="0.35">
      <c r="B22" s="12"/>
      <c r="C22" t="s">
        <v>17</v>
      </c>
      <c r="D22" s="6">
        <v>1.2812638282775899</v>
      </c>
      <c r="E22">
        <v>2.38</v>
      </c>
      <c r="F22" s="3">
        <f t="shared" si="0"/>
        <v>-1.09873617172241</v>
      </c>
      <c r="G22" s="3">
        <f t="shared" si="1"/>
        <v>1.2072211750512172</v>
      </c>
      <c r="K22">
        <v>21</v>
      </c>
      <c r="L22">
        <v>21</v>
      </c>
      <c r="N22" s="3">
        <f t="shared" si="2"/>
        <v>23.098748124421245</v>
      </c>
      <c r="O22" s="3">
        <f t="shared" si="3"/>
        <v>18.901251875578755</v>
      </c>
    </row>
    <row r="23" spans="1:15" x14ac:dyDescent="0.35">
      <c r="B23" s="12"/>
      <c r="C23" t="s">
        <v>19</v>
      </c>
      <c r="D23" s="6">
        <v>1.49347949028015</v>
      </c>
      <c r="E23">
        <v>1.89</v>
      </c>
      <c r="F23" s="3">
        <f t="shared" si="0"/>
        <v>-0.39652050971984987</v>
      </c>
      <c r="G23" s="3">
        <f t="shared" si="1"/>
        <v>0.15722851462848955</v>
      </c>
      <c r="K23">
        <v>22</v>
      </c>
      <c r="L23">
        <v>22</v>
      </c>
      <c r="N23" s="3">
        <f t="shared" si="2"/>
        <v>24.098748124421245</v>
      </c>
      <c r="O23" s="3">
        <f t="shared" si="3"/>
        <v>19.901251875578755</v>
      </c>
    </row>
    <row r="24" spans="1:15" x14ac:dyDescent="0.35">
      <c r="B24" s="12"/>
      <c r="C24" t="s">
        <v>20</v>
      </c>
      <c r="D24" s="6">
        <v>1.74072730541229</v>
      </c>
      <c r="E24">
        <v>2</v>
      </c>
      <c r="F24" s="3">
        <f t="shared" si="0"/>
        <v>-0.25927269458770996</v>
      </c>
      <c r="G24" s="3">
        <f t="shared" si="1"/>
        <v>6.7222330158771923E-2</v>
      </c>
      <c r="K24">
        <v>23</v>
      </c>
      <c r="L24">
        <v>23</v>
      </c>
      <c r="N24" s="3">
        <f t="shared" si="2"/>
        <v>25.098748124421245</v>
      </c>
      <c r="O24" s="3">
        <f t="shared" si="3"/>
        <v>20.901251875578755</v>
      </c>
    </row>
    <row r="25" spans="1:15" x14ac:dyDescent="0.35">
      <c r="B25" s="12"/>
      <c r="C25" t="s">
        <v>21</v>
      </c>
      <c r="D25" s="6">
        <v>1.84258592128754</v>
      </c>
      <c r="E25">
        <v>1.91</v>
      </c>
      <c r="F25" s="3">
        <f t="shared" si="0"/>
        <v>-6.7414078712459968E-2</v>
      </c>
      <c r="G25" s="3">
        <f t="shared" si="1"/>
        <v>4.5446580086497485E-3</v>
      </c>
      <c r="K25">
        <v>24</v>
      </c>
      <c r="L25">
        <v>24</v>
      </c>
      <c r="N25" s="3">
        <f t="shared" si="2"/>
        <v>26.098748124421245</v>
      </c>
      <c r="O25" s="3">
        <f t="shared" si="3"/>
        <v>21.901251875578755</v>
      </c>
    </row>
    <row r="26" spans="1:15" x14ac:dyDescent="0.35">
      <c r="B26" s="12"/>
      <c r="C26" t="s">
        <v>22</v>
      </c>
      <c r="D26" s="6">
        <v>2.8721008300781299</v>
      </c>
      <c r="E26">
        <v>2.12</v>
      </c>
      <c r="F26" s="3">
        <f t="shared" si="0"/>
        <v>0.75210083007812978</v>
      </c>
      <c r="G26" s="3">
        <f t="shared" si="1"/>
        <v>0.56565565860421185</v>
      </c>
      <c r="K26">
        <v>25</v>
      </c>
      <c r="L26">
        <v>25</v>
      </c>
      <c r="N26" s="3">
        <f t="shared" si="2"/>
        <v>27.098748124421245</v>
      </c>
      <c r="O26" s="3">
        <f t="shared" si="3"/>
        <v>22.901251875578755</v>
      </c>
    </row>
    <row r="27" spans="1:15" x14ac:dyDescent="0.35">
      <c r="B27" s="12"/>
      <c r="C27" t="s">
        <v>23</v>
      </c>
      <c r="D27" s="6">
        <v>1.9476903676986701</v>
      </c>
      <c r="E27">
        <v>2.31</v>
      </c>
      <c r="F27" s="3">
        <f t="shared" si="0"/>
        <v>-0.36230963230132995</v>
      </c>
      <c r="G27" s="3">
        <f t="shared" si="1"/>
        <v>0.13126826965832492</v>
      </c>
      <c r="K27">
        <v>26</v>
      </c>
      <c r="L27">
        <v>26</v>
      </c>
      <c r="N27" s="3">
        <f t="shared" si="2"/>
        <v>28.098748124421245</v>
      </c>
      <c r="O27" s="3">
        <f t="shared" si="3"/>
        <v>23.901251875578755</v>
      </c>
    </row>
    <row r="28" spans="1:15" x14ac:dyDescent="0.35">
      <c r="B28" s="12"/>
      <c r="C28" t="s">
        <v>24</v>
      </c>
      <c r="D28" s="6">
        <v>1.23880898952484</v>
      </c>
      <c r="E28">
        <v>2.4900000000000002</v>
      </c>
      <c r="F28" s="3">
        <f t="shared" si="0"/>
        <v>-1.2511910104751602</v>
      </c>
      <c r="G28" s="3">
        <f t="shared" si="1"/>
        <v>1.5654789446938526</v>
      </c>
      <c r="K28">
        <v>27</v>
      </c>
      <c r="L28">
        <v>27</v>
      </c>
      <c r="N28" s="3">
        <f t="shared" si="2"/>
        <v>29.098748124421245</v>
      </c>
      <c r="O28" s="3">
        <f t="shared" si="3"/>
        <v>24.901251875578755</v>
      </c>
    </row>
    <row r="29" spans="1:15" x14ac:dyDescent="0.35">
      <c r="A29" s="1"/>
      <c r="B29" s="12"/>
      <c r="C29" t="s">
        <v>25</v>
      </c>
      <c r="D29" s="6">
        <v>3.14753246307373</v>
      </c>
      <c r="E29">
        <v>1.97</v>
      </c>
      <c r="F29" s="3">
        <f t="shared" si="0"/>
        <v>1.1775324630737301</v>
      </c>
      <c r="G29" s="3">
        <f t="shared" si="1"/>
        <v>1.3865827015924854</v>
      </c>
      <c r="K29">
        <v>28</v>
      </c>
      <c r="L29">
        <v>28</v>
      </c>
      <c r="N29" s="3">
        <f t="shared" si="2"/>
        <v>30.098748124421245</v>
      </c>
      <c r="O29" s="3">
        <f t="shared" si="3"/>
        <v>25.901251875578755</v>
      </c>
    </row>
    <row r="30" spans="1:15" x14ac:dyDescent="0.35">
      <c r="B30" s="12" t="s">
        <v>31</v>
      </c>
      <c r="C30" t="s">
        <v>16</v>
      </c>
      <c r="D30" s="6">
        <v>2.4502096176147501</v>
      </c>
      <c r="E30">
        <v>1.95</v>
      </c>
      <c r="F30" s="3">
        <f t="shared" si="0"/>
        <v>0.50020961761475013</v>
      </c>
      <c r="G30" s="3">
        <f t="shared" si="1"/>
        <v>0.25020966155429453</v>
      </c>
      <c r="K30">
        <v>29</v>
      </c>
      <c r="L30">
        <v>29</v>
      </c>
      <c r="N30" s="3">
        <f t="shared" si="2"/>
        <v>31.098748124421245</v>
      </c>
      <c r="O30" s="3">
        <f t="shared" si="3"/>
        <v>26.901251875578755</v>
      </c>
    </row>
    <row r="31" spans="1:15" x14ac:dyDescent="0.35">
      <c r="B31" s="12"/>
      <c r="C31" t="s">
        <v>17</v>
      </c>
      <c r="D31" s="6">
        <v>1.8425482511520399</v>
      </c>
      <c r="E31">
        <v>2.2000000000000002</v>
      </c>
      <c r="F31" s="3">
        <f t="shared" si="0"/>
        <v>-0.35745174884796027</v>
      </c>
      <c r="G31" s="3">
        <f t="shared" si="1"/>
        <v>0.12777175275446526</v>
      </c>
      <c r="K31">
        <v>30</v>
      </c>
      <c r="L31">
        <v>30</v>
      </c>
      <c r="N31" s="3">
        <f t="shared" si="2"/>
        <v>32.098748124421242</v>
      </c>
      <c r="O31" s="3">
        <f t="shared" si="3"/>
        <v>27.901251875578755</v>
      </c>
    </row>
    <row r="32" spans="1:15" x14ac:dyDescent="0.35">
      <c r="B32" s="12"/>
      <c r="C32" t="s">
        <v>19</v>
      </c>
      <c r="D32" s="6">
        <v>2.91453289985657</v>
      </c>
      <c r="E32">
        <v>1.88</v>
      </c>
      <c r="F32" s="3">
        <f t="shared" si="0"/>
        <v>1.0345328998565702</v>
      </c>
      <c r="G32" s="3">
        <f t="shared" si="1"/>
        <v>1.0702583208856442</v>
      </c>
      <c r="K32">
        <v>31</v>
      </c>
      <c r="L32">
        <v>31</v>
      </c>
      <c r="N32" s="3">
        <f t="shared" si="2"/>
        <v>33.098748124421242</v>
      </c>
      <c r="O32" s="3">
        <f t="shared" si="3"/>
        <v>28.901251875578755</v>
      </c>
    </row>
    <row r="33" spans="1:15" x14ac:dyDescent="0.35">
      <c r="B33" s="12"/>
      <c r="C33" t="s">
        <v>20</v>
      </c>
      <c r="D33" s="6">
        <v>2.5323634147643999</v>
      </c>
      <c r="E33">
        <v>1.84</v>
      </c>
      <c r="F33" s="3">
        <f t="shared" si="0"/>
        <v>0.69236341476439978</v>
      </c>
      <c r="G33" s="3">
        <f t="shared" si="1"/>
        <v>0.47936709810422029</v>
      </c>
      <c r="K33">
        <v>32</v>
      </c>
      <c r="L33">
        <v>32</v>
      </c>
      <c r="N33" s="3">
        <f t="shared" si="2"/>
        <v>34.098748124421242</v>
      </c>
      <c r="O33" s="3">
        <f t="shared" si="3"/>
        <v>29.901251875578755</v>
      </c>
    </row>
    <row r="34" spans="1:15" x14ac:dyDescent="0.35">
      <c r="A34">
        <v>3</v>
      </c>
      <c r="B34" s="12"/>
      <c r="C34" t="s">
        <v>21</v>
      </c>
      <c r="D34" s="6">
        <v>2.5316567420959499</v>
      </c>
      <c r="E34">
        <v>1.69</v>
      </c>
      <c r="F34" s="3">
        <f t="shared" si="0"/>
        <v>0.84165674209594998</v>
      </c>
      <c r="G34" s="3">
        <f t="shared" si="1"/>
        <v>0.70838607151556843</v>
      </c>
      <c r="K34">
        <v>33</v>
      </c>
      <c r="L34">
        <v>33</v>
      </c>
      <c r="N34" s="3">
        <f t="shared" si="2"/>
        <v>35.098748124421242</v>
      </c>
      <c r="O34" s="3">
        <f t="shared" si="3"/>
        <v>30.901251875578755</v>
      </c>
    </row>
    <row r="35" spans="1:15" x14ac:dyDescent="0.35">
      <c r="B35" s="12"/>
      <c r="C35" t="s">
        <v>22</v>
      </c>
      <c r="D35" s="6">
        <v>2.51152896881104</v>
      </c>
      <c r="E35">
        <v>1.91</v>
      </c>
      <c r="F35" s="3">
        <f t="shared" si="0"/>
        <v>0.60152896881104012</v>
      </c>
      <c r="G35" s="3">
        <f t="shared" si="1"/>
        <v>0.36183710031887328</v>
      </c>
      <c r="K35">
        <v>34</v>
      </c>
      <c r="L35">
        <v>34</v>
      </c>
      <c r="N35" s="3">
        <f t="shared" si="2"/>
        <v>36.098748124421242</v>
      </c>
      <c r="O35" s="3">
        <f t="shared" si="3"/>
        <v>31.901251875578755</v>
      </c>
    </row>
    <row r="36" spans="1:15" x14ac:dyDescent="0.35">
      <c r="B36" s="12"/>
      <c r="C36" t="s">
        <v>23</v>
      </c>
      <c r="D36" s="6">
        <v>1.6429135799407999</v>
      </c>
      <c r="E36">
        <v>2.11</v>
      </c>
      <c r="F36" s="3">
        <f t="shared" si="0"/>
        <v>-0.46708642005919998</v>
      </c>
      <c r="G36" s="3">
        <f t="shared" si="1"/>
        <v>0.21816972380371941</v>
      </c>
      <c r="K36">
        <v>35</v>
      </c>
      <c r="L36">
        <v>35</v>
      </c>
      <c r="N36" s="3">
        <f t="shared" si="2"/>
        <v>37.098748124421242</v>
      </c>
      <c r="O36" s="3">
        <f t="shared" si="3"/>
        <v>32.901251875578758</v>
      </c>
    </row>
    <row r="37" spans="1:15" x14ac:dyDescent="0.35">
      <c r="B37" s="12"/>
      <c r="C37" t="s">
        <v>24</v>
      </c>
      <c r="D37" s="6">
        <v>2.3814320564270002</v>
      </c>
      <c r="E37">
        <v>2.5</v>
      </c>
      <c r="F37" s="3">
        <f t="shared" si="0"/>
        <v>-0.11856794357299982</v>
      </c>
      <c r="G37" s="3">
        <f t="shared" si="1"/>
        <v>1.405835724313007E-2</v>
      </c>
      <c r="K37">
        <v>36</v>
      </c>
      <c r="L37">
        <v>36</v>
      </c>
      <c r="N37" s="3">
        <f t="shared" si="2"/>
        <v>38.098748124421242</v>
      </c>
      <c r="O37" s="3">
        <f t="shared" si="3"/>
        <v>33.901251875578758</v>
      </c>
    </row>
    <row r="38" spans="1:15" x14ac:dyDescent="0.35">
      <c r="A38" s="1"/>
      <c r="B38" s="12"/>
      <c r="C38" t="s">
        <v>25</v>
      </c>
      <c r="D38" s="6">
        <v>3.91373491287231</v>
      </c>
      <c r="E38">
        <v>2.12</v>
      </c>
      <c r="F38" s="3">
        <f t="shared" si="0"/>
        <v>1.7937349128723099</v>
      </c>
      <c r="G38" s="3">
        <f t="shared" si="1"/>
        <v>3.2174849376570331</v>
      </c>
      <c r="K38">
        <v>37</v>
      </c>
      <c r="L38">
        <v>37</v>
      </c>
      <c r="N38" s="3">
        <f t="shared" si="2"/>
        <v>39.098748124421242</v>
      </c>
      <c r="O38" s="3">
        <f t="shared" si="3"/>
        <v>34.901251875578758</v>
      </c>
    </row>
    <row r="39" spans="1:15" x14ac:dyDescent="0.35">
      <c r="B39" s="13" t="s">
        <v>32</v>
      </c>
      <c r="C39" t="s">
        <v>27</v>
      </c>
      <c r="D39" s="6">
        <v>5.74534368515015</v>
      </c>
      <c r="E39">
        <v>1.78</v>
      </c>
      <c r="F39" s="3">
        <f t="shared" si="0"/>
        <v>3.9653436851501498</v>
      </c>
      <c r="G39" s="3">
        <f t="shared" si="1"/>
        <v>15.723950541360169</v>
      </c>
      <c r="K39">
        <v>38</v>
      </c>
      <c r="L39">
        <v>38</v>
      </c>
      <c r="N39" s="3">
        <f t="shared" si="2"/>
        <v>40.098748124421242</v>
      </c>
      <c r="O39" s="3">
        <f t="shared" si="3"/>
        <v>35.901251875578758</v>
      </c>
    </row>
    <row r="40" spans="1:15" x14ac:dyDescent="0.35">
      <c r="B40" s="13"/>
      <c r="C40" t="s">
        <v>28</v>
      </c>
      <c r="D40" s="6">
        <v>0.384113729000092</v>
      </c>
      <c r="E40">
        <v>1.66</v>
      </c>
      <c r="F40" s="3">
        <f t="shared" si="0"/>
        <v>-1.2758862709999079</v>
      </c>
      <c r="G40" s="3">
        <f t="shared" si="1"/>
        <v>1.6278857765260504</v>
      </c>
      <c r="K40">
        <v>39</v>
      </c>
      <c r="L40">
        <v>39</v>
      </c>
      <c r="N40" s="3">
        <f t="shared" si="2"/>
        <v>41.098748124421242</v>
      </c>
      <c r="O40" s="3">
        <f t="shared" si="3"/>
        <v>36.901251875578758</v>
      </c>
    </row>
    <row r="41" spans="1:15" x14ac:dyDescent="0.35">
      <c r="B41" s="13"/>
      <c r="C41" t="s">
        <v>29</v>
      </c>
      <c r="D41" s="6">
        <v>6.2768292427062997</v>
      </c>
      <c r="E41">
        <v>2.5099999999999998</v>
      </c>
      <c r="F41" s="3">
        <f t="shared" si="0"/>
        <v>3.7668292427062999</v>
      </c>
      <c r="G41" s="3">
        <f t="shared" si="1"/>
        <v>14.189002543707318</v>
      </c>
      <c r="K41">
        <v>40</v>
      </c>
      <c r="L41">
        <v>40</v>
      </c>
      <c r="N41" s="3">
        <f t="shared" si="2"/>
        <v>42.098748124421242</v>
      </c>
      <c r="O41" s="3">
        <f t="shared" si="3"/>
        <v>37.901251875578758</v>
      </c>
    </row>
    <row r="42" spans="1:15" x14ac:dyDescent="0.35">
      <c r="B42" s="13"/>
      <c r="C42" t="s">
        <v>30</v>
      </c>
      <c r="D42" s="6">
        <v>7.5198392868042001</v>
      </c>
      <c r="E42">
        <v>5.49</v>
      </c>
      <c r="F42" s="3">
        <f t="shared" si="0"/>
        <v>2.0298392868041999</v>
      </c>
      <c r="G42" s="3">
        <f t="shared" si="1"/>
        <v>4.1202475302537831</v>
      </c>
      <c r="K42">
        <v>41</v>
      </c>
      <c r="L42">
        <v>41</v>
      </c>
      <c r="N42" s="3">
        <f t="shared" si="2"/>
        <v>43.098748124421242</v>
      </c>
      <c r="O42" s="3">
        <f t="shared" si="3"/>
        <v>38.901251875578758</v>
      </c>
    </row>
    <row r="43" spans="1:15" x14ac:dyDescent="0.35">
      <c r="B43" s="13"/>
      <c r="C43" t="s">
        <v>11</v>
      </c>
      <c r="D43" s="6">
        <v>5.3458561897277797</v>
      </c>
      <c r="E43">
        <v>2.64</v>
      </c>
      <c r="F43" s="3">
        <f t="shared" si="0"/>
        <v>2.7058561897277795</v>
      </c>
      <c r="G43" s="3">
        <f t="shared" si="1"/>
        <v>7.3216577194881376</v>
      </c>
      <c r="K43">
        <v>42</v>
      </c>
      <c r="L43">
        <v>42</v>
      </c>
      <c r="N43" s="3">
        <f t="shared" si="2"/>
        <v>44.098748124421242</v>
      </c>
      <c r="O43" s="3">
        <f t="shared" si="3"/>
        <v>39.901251875578758</v>
      </c>
    </row>
    <row r="44" spans="1:15" x14ac:dyDescent="0.35">
      <c r="B44" s="13"/>
      <c r="C44" t="s">
        <v>13</v>
      </c>
      <c r="D44" s="6">
        <v>6.1599831581115696</v>
      </c>
      <c r="E44">
        <v>4.4000000000000004</v>
      </c>
      <c r="F44" s="3">
        <f t="shared" si="0"/>
        <v>1.7599831581115692</v>
      </c>
      <c r="G44" s="3">
        <f t="shared" si="1"/>
        <v>3.0975407168363729</v>
      </c>
      <c r="K44">
        <v>43</v>
      </c>
      <c r="L44">
        <v>43</v>
      </c>
      <c r="N44" s="3">
        <f t="shared" si="2"/>
        <v>45.098748124421242</v>
      </c>
      <c r="O44" s="3">
        <f t="shared" si="3"/>
        <v>40.901251875578758</v>
      </c>
    </row>
    <row r="45" spans="1:15" x14ac:dyDescent="0.35">
      <c r="B45" s="13"/>
      <c r="C45" t="s">
        <v>14</v>
      </c>
      <c r="D45" s="6">
        <v>2.3229398727417001</v>
      </c>
      <c r="E45">
        <v>2.54</v>
      </c>
      <c r="F45" s="3">
        <f t="shared" si="0"/>
        <v>-0.21706012725829993</v>
      </c>
      <c r="G45" s="3">
        <f t="shared" si="1"/>
        <v>4.7115098845389357E-2</v>
      </c>
      <c r="K45">
        <v>44</v>
      </c>
      <c r="L45">
        <v>44</v>
      </c>
      <c r="N45" s="3">
        <f t="shared" si="2"/>
        <v>46.098748124421242</v>
      </c>
      <c r="O45" s="3">
        <f t="shared" si="3"/>
        <v>41.901251875578758</v>
      </c>
    </row>
    <row r="46" spans="1:15" x14ac:dyDescent="0.35">
      <c r="B46" s="13"/>
      <c r="C46" t="s">
        <v>16</v>
      </c>
      <c r="D46" s="6">
        <v>4.3228030204773003</v>
      </c>
      <c r="E46">
        <v>1.96</v>
      </c>
      <c r="F46" s="3">
        <f t="shared" si="0"/>
        <v>2.3628030204773003</v>
      </c>
      <c r="G46" s="3">
        <f t="shared" si="1"/>
        <v>5.5828381135766536</v>
      </c>
      <c r="K46">
        <v>45</v>
      </c>
      <c r="L46">
        <v>45</v>
      </c>
      <c r="N46" s="3">
        <f t="shared" si="2"/>
        <v>47.098748124421242</v>
      </c>
      <c r="O46" s="3">
        <f t="shared" si="3"/>
        <v>42.901251875578758</v>
      </c>
    </row>
    <row r="47" spans="1:15" x14ac:dyDescent="0.35">
      <c r="A47">
        <v>4</v>
      </c>
      <c r="B47" s="13"/>
      <c r="C47" t="s">
        <v>17</v>
      </c>
      <c r="D47" s="6">
        <v>4.1137104034423801</v>
      </c>
      <c r="E47">
        <v>2.15</v>
      </c>
      <c r="F47" s="3">
        <f t="shared" si="0"/>
        <v>1.9637104034423802</v>
      </c>
      <c r="G47" s="3">
        <f t="shared" si="1"/>
        <v>3.8561585485878358</v>
      </c>
      <c r="K47">
        <v>46</v>
      </c>
      <c r="L47">
        <v>46</v>
      </c>
      <c r="N47" s="3">
        <f t="shared" si="2"/>
        <v>48.098748124421242</v>
      </c>
      <c r="O47" s="3">
        <f t="shared" si="3"/>
        <v>43.901251875578758</v>
      </c>
    </row>
    <row r="48" spans="1:15" x14ac:dyDescent="0.35">
      <c r="B48" s="13"/>
      <c r="C48" t="s">
        <v>19</v>
      </c>
      <c r="D48" s="6">
        <v>5.6254501342773402</v>
      </c>
      <c r="E48">
        <v>2.94</v>
      </c>
      <c r="F48" s="3">
        <f t="shared" si="0"/>
        <v>2.6854501342773403</v>
      </c>
      <c r="G48" s="3">
        <f t="shared" si="1"/>
        <v>7.2116424236901846</v>
      </c>
      <c r="K48">
        <v>47</v>
      </c>
      <c r="L48">
        <v>47</v>
      </c>
      <c r="N48" s="3">
        <f t="shared" si="2"/>
        <v>49.098748124421242</v>
      </c>
      <c r="O48" s="3">
        <f t="shared" si="3"/>
        <v>44.901251875578758</v>
      </c>
    </row>
    <row r="49" spans="1:15" x14ac:dyDescent="0.35">
      <c r="B49" s="13"/>
      <c r="C49" t="s">
        <v>20</v>
      </c>
      <c r="D49" s="6">
        <v>4.6066775321960503</v>
      </c>
      <c r="E49">
        <v>1.49</v>
      </c>
      <c r="F49" s="3">
        <f t="shared" si="0"/>
        <v>3.11667753219605</v>
      </c>
      <c r="G49" s="3">
        <f t="shared" si="1"/>
        <v>9.7136788396956604</v>
      </c>
      <c r="K49">
        <v>48</v>
      </c>
      <c r="L49">
        <v>48</v>
      </c>
      <c r="N49" s="3">
        <f t="shared" si="2"/>
        <v>50.098748124421242</v>
      </c>
      <c r="O49" s="3">
        <f t="shared" si="3"/>
        <v>45.901251875578758</v>
      </c>
    </row>
    <row r="50" spans="1:15" x14ac:dyDescent="0.35">
      <c r="B50" s="13"/>
      <c r="C50" t="s">
        <v>21</v>
      </c>
      <c r="D50" s="6">
        <v>4.90875291824341</v>
      </c>
      <c r="E50">
        <v>1.61</v>
      </c>
      <c r="F50" s="3">
        <f t="shared" si="0"/>
        <v>3.2987529182434097</v>
      </c>
      <c r="G50" s="3">
        <f t="shared" si="1"/>
        <v>10.881770815619412</v>
      </c>
      <c r="K50">
        <v>49</v>
      </c>
      <c r="L50">
        <v>49</v>
      </c>
      <c r="N50" s="3">
        <f t="shared" si="2"/>
        <v>51.098748124421242</v>
      </c>
      <c r="O50" s="3">
        <f t="shared" si="3"/>
        <v>46.901251875578758</v>
      </c>
    </row>
    <row r="51" spans="1:15" x14ac:dyDescent="0.35">
      <c r="B51" s="13"/>
      <c r="C51" t="s">
        <v>22</v>
      </c>
      <c r="D51" s="6">
        <v>3.9944009780883798</v>
      </c>
      <c r="E51">
        <v>1.82</v>
      </c>
      <c r="F51" s="3">
        <f t="shared" si="0"/>
        <v>2.1744009780883795</v>
      </c>
      <c r="G51" s="3">
        <f t="shared" si="1"/>
        <v>4.7280196135117016</v>
      </c>
      <c r="K51">
        <v>50</v>
      </c>
      <c r="L51">
        <v>50</v>
      </c>
      <c r="N51" s="3">
        <f t="shared" si="2"/>
        <v>52.098748124421242</v>
      </c>
      <c r="O51" s="3">
        <f t="shared" si="3"/>
        <v>47.901251875578758</v>
      </c>
    </row>
    <row r="52" spans="1:15" x14ac:dyDescent="0.35">
      <c r="B52" s="13"/>
      <c r="C52" t="s">
        <v>23</v>
      </c>
      <c r="D52" s="6">
        <v>3.9936172962188698</v>
      </c>
      <c r="E52">
        <v>2.09</v>
      </c>
      <c r="F52" s="3">
        <f t="shared" si="0"/>
        <v>1.90361729621887</v>
      </c>
      <c r="G52" s="3">
        <f t="shared" si="1"/>
        <v>3.6237588104636411</v>
      </c>
    </row>
    <row r="53" spans="1:15" x14ac:dyDescent="0.35">
      <c r="B53" s="13"/>
      <c r="C53" t="s">
        <v>24</v>
      </c>
      <c r="D53" s="6">
        <v>4.8460016250610396</v>
      </c>
      <c r="E53">
        <v>3.77</v>
      </c>
      <c r="F53" s="3">
        <f t="shared" si="0"/>
        <v>1.0760016250610396</v>
      </c>
      <c r="G53" s="3">
        <f t="shared" si="1"/>
        <v>1.1577794971339981</v>
      </c>
    </row>
    <row r="54" spans="1:15" x14ac:dyDescent="0.35">
      <c r="A54" s="1"/>
      <c r="B54" s="13"/>
      <c r="C54" t="s">
        <v>25</v>
      </c>
      <c r="D54" s="6">
        <v>5.6785311698913601</v>
      </c>
      <c r="E54">
        <v>3.74</v>
      </c>
      <c r="F54" s="3">
        <f t="shared" si="0"/>
        <v>1.9385311698913599</v>
      </c>
      <c r="G54" s="3">
        <f t="shared" si="1"/>
        <v>3.7579030966403644</v>
      </c>
    </row>
    <row r="55" spans="1:15" x14ac:dyDescent="0.35">
      <c r="B55" s="12" t="s">
        <v>33</v>
      </c>
      <c r="C55" t="s">
        <v>27</v>
      </c>
      <c r="D55" s="6">
        <v>4.8994083404540998</v>
      </c>
      <c r="E55">
        <v>2.76</v>
      </c>
      <c r="F55" s="3">
        <f t="shared" si="0"/>
        <v>2.1394083404541</v>
      </c>
      <c r="G55" s="3">
        <f t="shared" si="1"/>
        <v>4.5770680472045662</v>
      </c>
    </row>
    <row r="56" spans="1:15" x14ac:dyDescent="0.35">
      <c r="B56" s="12"/>
      <c r="C56" t="s">
        <v>28</v>
      </c>
      <c r="D56" s="6">
        <v>1.92495560646057</v>
      </c>
      <c r="E56">
        <v>1.81</v>
      </c>
      <c r="F56" s="3">
        <f t="shared" si="0"/>
        <v>0.1149556064605699</v>
      </c>
      <c r="G56" s="3">
        <f t="shared" si="1"/>
        <v>1.3214791456717421E-2</v>
      </c>
    </row>
    <row r="57" spans="1:15" x14ac:dyDescent="0.35">
      <c r="B57" s="12"/>
      <c r="C57" t="s">
        <v>29</v>
      </c>
      <c r="D57" s="6">
        <v>5.2084484100341797</v>
      </c>
      <c r="E57">
        <v>3.14</v>
      </c>
      <c r="F57" s="3">
        <f t="shared" si="0"/>
        <v>2.0684484100341796</v>
      </c>
      <c r="G57" s="3">
        <f t="shared" si="1"/>
        <v>4.2784788249729253</v>
      </c>
    </row>
    <row r="58" spans="1:15" x14ac:dyDescent="0.35">
      <c r="B58" s="12"/>
      <c r="C58" t="s">
        <v>30</v>
      </c>
      <c r="D58" s="6">
        <v>6.8409962654113796</v>
      </c>
      <c r="E58">
        <v>6.08</v>
      </c>
      <c r="F58" s="3">
        <f t="shared" si="0"/>
        <v>0.76099626541137955</v>
      </c>
      <c r="G58" s="3">
        <f t="shared" si="1"/>
        <v>0.57911531597006682</v>
      </c>
    </row>
    <row r="59" spans="1:15" x14ac:dyDescent="0.35">
      <c r="B59" s="12"/>
      <c r="C59" t="s">
        <v>11</v>
      </c>
      <c r="D59" s="6">
        <v>3.7474431991577202</v>
      </c>
      <c r="E59">
        <v>3.2</v>
      </c>
      <c r="F59" s="3">
        <f t="shared" si="0"/>
        <v>0.54744319915772</v>
      </c>
      <c r="G59" s="3">
        <f t="shared" si="1"/>
        <v>0.29969405630403906</v>
      </c>
    </row>
    <row r="60" spans="1:15" x14ac:dyDescent="0.35">
      <c r="B60" s="12"/>
      <c r="C60" t="s">
        <v>13</v>
      </c>
      <c r="D60" s="6">
        <v>5.2700695991516104</v>
      </c>
      <c r="E60">
        <v>4.6500000000000004</v>
      </c>
      <c r="F60" s="3">
        <f t="shared" si="0"/>
        <v>0.62006959915161008</v>
      </c>
      <c r="G60" s="3">
        <f t="shared" si="1"/>
        <v>0.38448630779203841</v>
      </c>
    </row>
    <row r="61" spans="1:15" x14ac:dyDescent="0.35">
      <c r="B61" s="12"/>
      <c r="C61" t="s">
        <v>14</v>
      </c>
      <c r="D61" s="6">
        <v>2.6613113880157502</v>
      </c>
      <c r="E61">
        <v>2.58</v>
      </c>
      <c r="F61" s="3">
        <f t="shared" si="0"/>
        <v>8.1311388015750108E-2</v>
      </c>
      <c r="G61" s="3">
        <f t="shared" si="1"/>
        <v>6.6115418210478706E-3</v>
      </c>
    </row>
    <row r="62" spans="1:15" x14ac:dyDescent="0.35">
      <c r="B62" s="12"/>
      <c r="C62" t="s">
        <v>16</v>
      </c>
      <c r="D62" s="6">
        <v>2.9533932209014901</v>
      </c>
      <c r="E62">
        <v>2.09</v>
      </c>
      <c r="F62" s="3">
        <f t="shared" si="0"/>
        <v>0.86339322090149029</v>
      </c>
      <c r="G62" s="3">
        <f t="shared" si="1"/>
        <v>0.74544785389864965</v>
      </c>
    </row>
    <row r="63" spans="1:15" x14ac:dyDescent="0.35">
      <c r="A63">
        <v>5</v>
      </c>
      <c r="B63" s="12"/>
      <c r="C63" t="s">
        <v>17</v>
      </c>
      <c r="D63" s="6">
        <v>2.9043555259704599</v>
      </c>
      <c r="E63">
        <v>2.2999999999999998</v>
      </c>
      <c r="F63" s="3">
        <f t="shared" si="0"/>
        <v>0.60435552597046005</v>
      </c>
      <c r="G63" s="3">
        <f t="shared" si="1"/>
        <v>0.36524560177103144</v>
      </c>
    </row>
    <row r="64" spans="1:15" x14ac:dyDescent="0.35">
      <c r="B64" s="12"/>
      <c r="C64" t="s">
        <v>19</v>
      </c>
      <c r="D64" s="6">
        <v>3.74091625213623</v>
      </c>
      <c r="E64">
        <v>3.24</v>
      </c>
      <c r="F64" s="3">
        <f t="shared" si="0"/>
        <v>0.50091625213622981</v>
      </c>
      <c r="G64" s="3">
        <f t="shared" si="1"/>
        <v>0.25091709165420695</v>
      </c>
    </row>
    <row r="65" spans="1:7" x14ac:dyDescent="0.35">
      <c r="B65" s="12"/>
      <c r="C65" t="s">
        <v>20</v>
      </c>
      <c r="D65" s="6">
        <v>3.0372765064239502</v>
      </c>
      <c r="E65">
        <v>1.97</v>
      </c>
      <c r="F65" s="3">
        <f t="shared" si="0"/>
        <v>1.0672765064239502</v>
      </c>
      <c r="G65" s="3">
        <f t="shared" si="1"/>
        <v>1.1390791411645123</v>
      </c>
    </row>
    <row r="66" spans="1:7" x14ac:dyDescent="0.35">
      <c r="B66" s="12"/>
      <c r="C66" t="s">
        <v>21</v>
      </c>
      <c r="D66" s="6">
        <v>3.00093650817871</v>
      </c>
      <c r="E66">
        <v>1.78</v>
      </c>
      <c r="F66" s="3">
        <f t="shared" si="0"/>
        <v>1.22093650817871</v>
      </c>
      <c r="G66" s="3">
        <f t="shared" si="1"/>
        <v>1.4906859570036213</v>
      </c>
    </row>
    <row r="67" spans="1:7" x14ac:dyDescent="0.35">
      <c r="B67" s="12"/>
      <c r="C67" t="s">
        <v>22</v>
      </c>
      <c r="D67" s="6">
        <v>2.6888508796691899</v>
      </c>
      <c r="E67">
        <v>1.96</v>
      </c>
      <c r="F67" s="3">
        <f t="shared" ref="F67:F130" si="4">D67-E67</f>
        <v>0.72885087966918993</v>
      </c>
      <c r="G67" s="3">
        <f t="shared" ref="G67:G130" si="5">F67^2</f>
        <v>0.531223604794552</v>
      </c>
    </row>
    <row r="68" spans="1:7" x14ac:dyDescent="0.35">
      <c r="B68" s="12"/>
      <c r="C68" t="s">
        <v>23</v>
      </c>
      <c r="D68" s="6">
        <v>2.8888907432556201</v>
      </c>
      <c r="E68">
        <v>2.13</v>
      </c>
      <c r="F68" s="3">
        <f t="shared" si="4"/>
        <v>0.75889074325562023</v>
      </c>
      <c r="G68" s="3">
        <f t="shared" si="5"/>
        <v>0.57591516019906774</v>
      </c>
    </row>
    <row r="69" spans="1:7" x14ac:dyDescent="0.35">
      <c r="B69" s="12"/>
      <c r="C69" t="s">
        <v>24</v>
      </c>
      <c r="D69" s="6">
        <v>3.0253353118896502</v>
      </c>
      <c r="E69">
        <v>2.84</v>
      </c>
      <c r="F69" s="3">
        <f t="shared" si="4"/>
        <v>0.18533531188965036</v>
      </c>
      <c r="G69" s="3">
        <f t="shared" si="5"/>
        <v>3.434917783323397E-2</v>
      </c>
    </row>
    <row r="70" spans="1:7" x14ac:dyDescent="0.35">
      <c r="A70" s="1"/>
      <c r="B70" s="12"/>
      <c r="C70" t="s">
        <v>25</v>
      </c>
      <c r="D70" s="6">
        <v>4.2978162765502903</v>
      </c>
      <c r="E70">
        <v>4.5</v>
      </c>
      <c r="F70" s="3">
        <f t="shared" si="4"/>
        <v>-0.2021837234497097</v>
      </c>
      <c r="G70" s="3">
        <f t="shared" si="5"/>
        <v>4.0878258027988688E-2</v>
      </c>
    </row>
    <row r="71" spans="1:7" x14ac:dyDescent="0.35">
      <c r="B71" s="12" t="s">
        <v>34</v>
      </c>
      <c r="C71" t="s">
        <v>27</v>
      </c>
      <c r="D71" s="6">
        <v>8.6035842895507795</v>
      </c>
      <c r="E71">
        <v>6.07</v>
      </c>
      <c r="F71" s="3">
        <f t="shared" si="4"/>
        <v>2.5335842895507792</v>
      </c>
      <c r="G71" s="3">
        <f t="shared" si="5"/>
        <v>6.4190493522585266</v>
      </c>
    </row>
    <row r="72" spans="1:7" x14ac:dyDescent="0.35">
      <c r="B72" s="12"/>
      <c r="C72" t="s">
        <v>28</v>
      </c>
      <c r="D72" s="6">
        <v>6.36513328552246</v>
      </c>
      <c r="E72">
        <v>1.79</v>
      </c>
      <c r="F72" s="3">
        <f t="shared" si="4"/>
        <v>4.57513328552246</v>
      </c>
      <c r="G72" s="3">
        <f t="shared" si="5"/>
        <v>20.93184458029554</v>
      </c>
    </row>
    <row r="73" spans="1:7" x14ac:dyDescent="0.35">
      <c r="B73" s="12"/>
      <c r="C73" t="s">
        <v>29</v>
      </c>
      <c r="D73" s="6">
        <v>8.6697673797607404</v>
      </c>
      <c r="E73">
        <v>3.78</v>
      </c>
      <c r="F73" s="3">
        <f t="shared" si="4"/>
        <v>4.8897673797607411</v>
      </c>
      <c r="G73" s="3">
        <f t="shared" si="5"/>
        <v>23.909825028172222</v>
      </c>
    </row>
    <row r="74" spans="1:7" x14ac:dyDescent="0.35">
      <c r="B74" s="12"/>
      <c r="C74" t="s">
        <v>30</v>
      </c>
      <c r="D74" s="6">
        <v>10.667182922363301</v>
      </c>
      <c r="E74">
        <v>9.9499999999999993</v>
      </c>
      <c r="F74" s="3">
        <f t="shared" si="4"/>
        <v>0.7171829223633015</v>
      </c>
      <c r="G74" s="3">
        <f t="shared" si="5"/>
        <v>0.5143513441295654</v>
      </c>
    </row>
    <row r="75" spans="1:7" x14ac:dyDescent="0.35">
      <c r="B75" s="12"/>
      <c r="C75" t="s">
        <v>16</v>
      </c>
      <c r="D75" s="6">
        <v>6.9931397438049299</v>
      </c>
      <c r="E75">
        <v>2.09</v>
      </c>
      <c r="F75" s="3">
        <f t="shared" si="4"/>
        <v>4.90313974380493</v>
      </c>
      <c r="G75" s="3">
        <f t="shared" si="5"/>
        <v>24.040779347279475</v>
      </c>
    </row>
    <row r="76" spans="1:7" x14ac:dyDescent="0.35">
      <c r="B76" s="12"/>
      <c r="C76" t="s">
        <v>17</v>
      </c>
      <c r="D76" s="6">
        <v>6.9523983001709002</v>
      </c>
      <c r="E76">
        <v>2.2999999999999998</v>
      </c>
      <c r="F76" s="3">
        <f t="shared" si="4"/>
        <v>4.6523983001709004</v>
      </c>
      <c r="G76" s="3">
        <f t="shared" si="5"/>
        <v>21.644809943433085</v>
      </c>
    </row>
    <row r="77" spans="1:7" x14ac:dyDescent="0.35">
      <c r="A77">
        <v>6</v>
      </c>
      <c r="B77" s="12"/>
      <c r="C77" t="s">
        <v>19</v>
      </c>
      <c r="D77" s="6">
        <v>7.9284815788268999</v>
      </c>
      <c r="E77">
        <v>6</v>
      </c>
      <c r="F77" s="3">
        <f t="shared" si="4"/>
        <v>1.9284815788268999</v>
      </c>
      <c r="G77" s="3">
        <f t="shared" si="5"/>
        <v>3.7190411998746922</v>
      </c>
    </row>
    <row r="78" spans="1:7" x14ac:dyDescent="0.35">
      <c r="B78" s="12"/>
      <c r="C78" t="s">
        <v>20</v>
      </c>
      <c r="D78" s="6">
        <v>7.0073480606079102</v>
      </c>
      <c r="E78">
        <v>1.96</v>
      </c>
      <c r="F78" s="3">
        <f t="shared" si="4"/>
        <v>5.0473480606079102</v>
      </c>
      <c r="G78" s="3">
        <f t="shared" si="5"/>
        <v>25.475722444922432</v>
      </c>
    </row>
    <row r="79" spans="1:7" x14ac:dyDescent="0.35">
      <c r="B79" s="12"/>
      <c r="C79" t="s">
        <v>21</v>
      </c>
      <c r="D79" s="6">
        <v>6.9199872016906703</v>
      </c>
      <c r="E79">
        <v>1.84</v>
      </c>
      <c r="F79" s="3">
        <f t="shared" si="4"/>
        <v>5.0799872016906704</v>
      </c>
      <c r="G79" s="3">
        <f t="shared" si="5"/>
        <v>25.80626996934101</v>
      </c>
    </row>
    <row r="80" spans="1:7" x14ac:dyDescent="0.35">
      <c r="B80" s="12"/>
      <c r="C80" t="s">
        <v>22</v>
      </c>
      <c r="D80" s="6">
        <v>6.8900947570800799</v>
      </c>
      <c r="E80">
        <v>2.0299999999999998</v>
      </c>
      <c r="F80" s="3">
        <f t="shared" si="4"/>
        <v>4.8600947570800805</v>
      </c>
      <c r="G80" s="3">
        <f t="shared" si="5"/>
        <v>23.620521047797286</v>
      </c>
    </row>
    <row r="81" spans="1:7" x14ac:dyDescent="0.35">
      <c r="B81" s="12"/>
      <c r="C81" t="s">
        <v>23</v>
      </c>
      <c r="D81" s="6">
        <v>7.1306881904602104</v>
      </c>
      <c r="E81">
        <v>3.18</v>
      </c>
      <c r="F81" s="3">
        <f t="shared" si="4"/>
        <v>3.9506881904602102</v>
      </c>
      <c r="G81" s="3">
        <f t="shared" si="5"/>
        <v>15.607937178241771</v>
      </c>
    </row>
    <row r="82" spans="1:7" x14ac:dyDescent="0.35">
      <c r="B82" s="12"/>
      <c r="C82" t="s">
        <v>24</v>
      </c>
      <c r="D82" s="6">
        <v>6.9653916358947798</v>
      </c>
      <c r="E82">
        <v>3.11</v>
      </c>
      <c r="F82" s="3">
        <f t="shared" si="4"/>
        <v>3.85539163589478</v>
      </c>
      <c r="G82" s="3">
        <f t="shared" si="5"/>
        <v>14.864044666127427</v>
      </c>
    </row>
    <row r="83" spans="1:7" x14ac:dyDescent="0.35">
      <c r="A83" s="1"/>
      <c r="B83" s="12"/>
      <c r="C83" t="s">
        <v>25</v>
      </c>
      <c r="D83" s="6">
        <v>8.45715236663818</v>
      </c>
      <c r="E83">
        <v>8.14</v>
      </c>
      <c r="F83" s="3">
        <f t="shared" si="4"/>
        <v>0.31715236663817947</v>
      </c>
      <c r="G83" s="3">
        <f t="shared" si="5"/>
        <v>0.10058562366419821</v>
      </c>
    </row>
    <row r="84" spans="1:7" x14ac:dyDescent="0.35">
      <c r="B84" s="12" t="s">
        <v>35</v>
      </c>
      <c r="C84" t="s">
        <v>27</v>
      </c>
      <c r="D84" s="6">
        <v>8.5138425827026403</v>
      </c>
      <c r="E84">
        <v>7.29</v>
      </c>
      <c r="F84" s="3">
        <f t="shared" si="4"/>
        <v>1.2238425827026402</v>
      </c>
      <c r="G84" s="3">
        <f t="shared" si="5"/>
        <v>1.4977906672362689</v>
      </c>
    </row>
    <row r="85" spans="1:7" x14ac:dyDescent="0.35">
      <c r="B85" s="12"/>
      <c r="C85" t="s">
        <v>28</v>
      </c>
      <c r="D85" s="6">
        <v>6.6704859733581499</v>
      </c>
      <c r="E85">
        <v>3.1</v>
      </c>
      <c r="F85" s="3">
        <f t="shared" si="4"/>
        <v>3.5704859733581498</v>
      </c>
      <c r="G85" s="3">
        <f t="shared" si="5"/>
        <v>12.748370085947295</v>
      </c>
    </row>
    <row r="86" spans="1:7" x14ac:dyDescent="0.35">
      <c r="B86" s="12"/>
      <c r="C86" t="s">
        <v>29</v>
      </c>
      <c r="D86" s="6">
        <v>9.4046001434326207</v>
      </c>
      <c r="E86">
        <v>7.29</v>
      </c>
      <c r="F86" s="3">
        <f t="shared" si="4"/>
        <v>2.1146001434326207</v>
      </c>
      <c r="G86" s="3">
        <f t="shared" si="5"/>
        <v>4.4715337666052601</v>
      </c>
    </row>
    <row r="87" spans="1:7" x14ac:dyDescent="0.35">
      <c r="B87" s="12"/>
      <c r="C87" t="s">
        <v>30</v>
      </c>
      <c r="D87" s="6">
        <v>11.549516677856399</v>
      </c>
      <c r="E87">
        <v>10.25</v>
      </c>
      <c r="F87" s="3">
        <f t="shared" si="4"/>
        <v>1.2995166778563991</v>
      </c>
      <c r="G87" s="3">
        <f t="shared" si="5"/>
        <v>1.6887435960269321</v>
      </c>
    </row>
    <row r="88" spans="1:7" x14ac:dyDescent="0.35">
      <c r="B88" s="12"/>
      <c r="C88" t="s">
        <v>11</v>
      </c>
      <c r="D88" s="6">
        <v>7.52278709411621</v>
      </c>
      <c r="E88">
        <v>6.01</v>
      </c>
      <c r="F88" s="3">
        <f t="shared" si="4"/>
        <v>1.5127870941162103</v>
      </c>
      <c r="G88" s="3">
        <f t="shared" si="5"/>
        <v>2.2885247921245675</v>
      </c>
    </row>
    <row r="89" spans="1:7" x14ac:dyDescent="0.35">
      <c r="B89" s="12"/>
      <c r="C89" t="s">
        <v>13</v>
      </c>
      <c r="D89" s="6">
        <v>8.7693166732788104</v>
      </c>
      <c r="E89">
        <v>7.85</v>
      </c>
      <c r="F89" s="3">
        <f t="shared" si="4"/>
        <v>0.91931667327881073</v>
      </c>
      <c r="G89" s="3">
        <f t="shared" si="5"/>
        <v>0.84514314576841965</v>
      </c>
    </row>
    <row r="90" spans="1:7" x14ac:dyDescent="0.35">
      <c r="B90" s="12"/>
      <c r="C90" t="s">
        <v>14</v>
      </c>
      <c r="D90" s="6">
        <v>6.6161475181579599</v>
      </c>
      <c r="E90">
        <v>2.96</v>
      </c>
      <c r="F90" s="3">
        <f t="shared" si="4"/>
        <v>3.6561475181579599</v>
      </c>
      <c r="G90" s="3">
        <f t="shared" si="5"/>
        <v>13.367414674532609</v>
      </c>
    </row>
    <row r="91" spans="1:7" x14ac:dyDescent="0.35">
      <c r="B91" s="12"/>
      <c r="C91" t="s">
        <v>16</v>
      </c>
      <c r="D91" s="6">
        <v>7.6360449790954599</v>
      </c>
      <c r="E91">
        <v>4.4800000000000004</v>
      </c>
      <c r="F91" s="3">
        <f t="shared" si="4"/>
        <v>3.1560449790954594</v>
      </c>
      <c r="G91" s="3">
        <f t="shared" si="5"/>
        <v>9.9606199100736585</v>
      </c>
    </row>
    <row r="92" spans="1:7" x14ac:dyDescent="0.35">
      <c r="A92">
        <v>7</v>
      </c>
      <c r="B92" s="12"/>
      <c r="C92" t="s">
        <v>17</v>
      </c>
      <c r="D92" s="6">
        <v>6.8705577850341797</v>
      </c>
      <c r="E92">
        <v>3.09</v>
      </c>
      <c r="F92" s="3">
        <f t="shared" si="4"/>
        <v>3.7805577850341798</v>
      </c>
      <c r="G92" s="3">
        <f t="shared" si="5"/>
        <v>14.292617165982543</v>
      </c>
    </row>
    <row r="93" spans="1:7" x14ac:dyDescent="0.35">
      <c r="B93" s="12"/>
      <c r="C93" t="s">
        <v>19</v>
      </c>
      <c r="D93" s="6">
        <v>7.8859295845031703</v>
      </c>
      <c r="E93">
        <v>6.21</v>
      </c>
      <c r="F93" s="3">
        <f t="shared" si="4"/>
        <v>1.6759295845031703</v>
      </c>
      <c r="G93" s="3">
        <f t="shared" si="5"/>
        <v>2.8087399722129689</v>
      </c>
    </row>
    <row r="94" spans="1:7" x14ac:dyDescent="0.35">
      <c r="B94" s="12"/>
      <c r="C94" t="s">
        <v>20</v>
      </c>
      <c r="D94" s="6">
        <v>7.4367904663085902</v>
      </c>
      <c r="E94">
        <v>5.05</v>
      </c>
      <c r="F94" s="3">
        <f t="shared" si="4"/>
        <v>2.3867904663085904</v>
      </c>
      <c r="G94" s="3">
        <f t="shared" si="5"/>
        <v>5.6967687300615779</v>
      </c>
    </row>
    <row r="95" spans="1:7" x14ac:dyDescent="0.35">
      <c r="B95" s="12"/>
      <c r="C95" t="s">
        <v>21</v>
      </c>
      <c r="D95" s="6">
        <v>7.4072809219360396</v>
      </c>
      <c r="E95">
        <v>3.95</v>
      </c>
      <c r="F95" s="3">
        <f t="shared" si="4"/>
        <v>3.4572809219360394</v>
      </c>
      <c r="G95" s="3">
        <f t="shared" si="5"/>
        <v>11.95279137318291</v>
      </c>
    </row>
    <row r="96" spans="1:7" x14ac:dyDescent="0.35">
      <c r="B96" s="12"/>
      <c r="C96" t="s">
        <v>22</v>
      </c>
      <c r="D96" s="6">
        <v>6.9202075004577601</v>
      </c>
      <c r="E96">
        <v>3.23</v>
      </c>
      <c r="F96" s="3">
        <f t="shared" si="4"/>
        <v>3.6902075004577601</v>
      </c>
      <c r="G96" s="3">
        <f t="shared" si="5"/>
        <v>13.61763139643471</v>
      </c>
    </row>
    <row r="97" spans="1:7" x14ac:dyDescent="0.35">
      <c r="B97" s="12"/>
      <c r="C97" t="s">
        <v>23</v>
      </c>
      <c r="D97" s="6">
        <v>7.6970643997192401</v>
      </c>
      <c r="E97">
        <v>5.05</v>
      </c>
      <c r="F97" s="3">
        <f t="shared" si="4"/>
        <v>2.6470643997192402</v>
      </c>
      <c r="G97" s="3">
        <f t="shared" si="5"/>
        <v>7.0069499362609813</v>
      </c>
    </row>
    <row r="98" spans="1:7" x14ac:dyDescent="0.35">
      <c r="B98" s="12"/>
      <c r="C98" t="s">
        <v>24</v>
      </c>
      <c r="D98" s="6">
        <v>7.2943768501281703</v>
      </c>
      <c r="E98">
        <v>4.4000000000000004</v>
      </c>
      <c r="F98" s="3">
        <f t="shared" si="4"/>
        <v>2.8943768501281699</v>
      </c>
      <c r="G98" s="3">
        <f t="shared" si="5"/>
        <v>8.3774173505578666</v>
      </c>
    </row>
    <row r="99" spans="1:7" x14ac:dyDescent="0.35">
      <c r="A99" s="1"/>
      <c r="B99" s="12"/>
      <c r="C99" t="s">
        <v>25</v>
      </c>
      <c r="D99" s="6">
        <v>8.2150373458862305</v>
      </c>
      <c r="E99">
        <v>8.0500000000000007</v>
      </c>
      <c r="F99" s="3">
        <f t="shared" si="4"/>
        <v>0.16503734588622976</v>
      </c>
      <c r="G99" s="3">
        <f t="shared" si="5"/>
        <v>2.723732553717104E-2</v>
      </c>
    </row>
    <row r="100" spans="1:7" x14ac:dyDescent="0.35">
      <c r="B100" s="12" t="s">
        <v>36</v>
      </c>
      <c r="C100" t="s">
        <v>27</v>
      </c>
      <c r="D100" s="6">
        <v>3.4588291645050102</v>
      </c>
      <c r="E100">
        <v>3.09</v>
      </c>
      <c r="F100" s="3">
        <f t="shared" si="4"/>
        <v>0.36882916450501035</v>
      </c>
      <c r="G100" s="3">
        <f t="shared" si="5"/>
        <v>0.13603495258946399</v>
      </c>
    </row>
    <row r="101" spans="1:7" x14ac:dyDescent="0.35">
      <c r="B101" s="12"/>
      <c r="C101" t="s">
        <v>28</v>
      </c>
      <c r="D101" s="6">
        <v>0.84762668609619096</v>
      </c>
      <c r="E101">
        <v>1.56</v>
      </c>
      <c r="F101" s="3">
        <f t="shared" si="4"/>
        <v>-0.71237331390380909</v>
      </c>
      <c r="G101" s="3">
        <f t="shared" si="5"/>
        <v>0.50747573836229487</v>
      </c>
    </row>
    <row r="102" spans="1:7" x14ac:dyDescent="0.35">
      <c r="B102" s="12"/>
      <c r="C102" t="s">
        <v>29</v>
      </c>
      <c r="D102" s="6">
        <v>2.9108982086181601</v>
      </c>
      <c r="E102">
        <v>3.21</v>
      </c>
      <c r="F102" s="3">
        <f t="shared" si="4"/>
        <v>-0.2991017913818399</v>
      </c>
      <c r="G102" s="3">
        <f t="shared" si="5"/>
        <v>8.9461881607825672E-2</v>
      </c>
    </row>
    <row r="103" spans="1:7" x14ac:dyDescent="0.35">
      <c r="B103" s="12"/>
      <c r="C103" t="s">
        <v>30</v>
      </c>
      <c r="D103" s="6">
        <v>6.0985293388366699</v>
      </c>
      <c r="E103">
        <v>5.13</v>
      </c>
      <c r="F103" s="3">
        <f t="shared" si="4"/>
        <v>0.96852933883667003</v>
      </c>
      <c r="G103" s="3">
        <f t="shared" si="5"/>
        <v>0.93804908018739719</v>
      </c>
    </row>
    <row r="104" spans="1:7" x14ac:dyDescent="0.35">
      <c r="B104" s="12"/>
      <c r="C104" t="s">
        <v>11</v>
      </c>
      <c r="D104" s="6">
        <v>2.1431634426116899</v>
      </c>
      <c r="E104">
        <v>2.83</v>
      </c>
      <c r="F104" s="3">
        <f t="shared" si="4"/>
        <v>-0.68683655738831018</v>
      </c>
      <c r="G104" s="3">
        <f t="shared" si="5"/>
        <v>0.47174445656502551</v>
      </c>
    </row>
    <row r="105" spans="1:7" x14ac:dyDescent="0.35">
      <c r="B105" s="12"/>
      <c r="C105" t="s">
        <v>13</v>
      </c>
      <c r="D105" s="6">
        <v>2.8191168308258101</v>
      </c>
      <c r="E105">
        <v>3.85</v>
      </c>
      <c r="F105" s="3">
        <f t="shared" si="4"/>
        <v>-1.03088316917419</v>
      </c>
      <c r="G105" s="3">
        <f t="shared" si="5"/>
        <v>1.0627201084866216</v>
      </c>
    </row>
    <row r="106" spans="1:7" x14ac:dyDescent="0.35">
      <c r="B106" s="12"/>
      <c r="C106" t="s">
        <v>14</v>
      </c>
      <c r="D106" s="6">
        <v>1.4528992176055899</v>
      </c>
      <c r="E106">
        <v>2.8</v>
      </c>
      <c r="F106" s="3">
        <f t="shared" si="4"/>
        <v>-1.3471007823944099</v>
      </c>
      <c r="G106" s="3">
        <f t="shared" si="5"/>
        <v>1.8146805179276313</v>
      </c>
    </row>
    <row r="107" spans="1:7" x14ac:dyDescent="0.35">
      <c r="B107" s="12"/>
      <c r="C107" t="s">
        <v>16</v>
      </c>
      <c r="D107" s="6">
        <v>1.2978254556655899</v>
      </c>
      <c r="E107">
        <v>2.4900000000000002</v>
      </c>
      <c r="F107" s="3">
        <f t="shared" si="4"/>
        <v>-1.1921745443344103</v>
      </c>
      <c r="G107" s="3">
        <f t="shared" si="5"/>
        <v>1.4212801441589589</v>
      </c>
    </row>
    <row r="108" spans="1:7" x14ac:dyDescent="0.35">
      <c r="A108">
        <v>8</v>
      </c>
      <c r="B108" s="12"/>
      <c r="C108" t="s">
        <v>17</v>
      </c>
      <c r="D108" s="6">
        <v>1.17037808895111</v>
      </c>
      <c r="E108">
        <v>2.0699999999999998</v>
      </c>
      <c r="F108" s="3">
        <f t="shared" si="4"/>
        <v>-0.89962191104888989</v>
      </c>
      <c r="G108" s="3">
        <f t="shared" si="5"/>
        <v>0.80931958283925676</v>
      </c>
    </row>
    <row r="109" spans="1:7" x14ac:dyDescent="0.35">
      <c r="B109" s="12"/>
      <c r="C109" t="s">
        <v>19</v>
      </c>
      <c r="D109" s="6">
        <v>1.9899208545684799</v>
      </c>
      <c r="E109">
        <v>3.07</v>
      </c>
      <c r="F109" s="3">
        <f t="shared" si="4"/>
        <v>-1.0800791454315199</v>
      </c>
      <c r="G109" s="3">
        <f t="shared" si="5"/>
        <v>1.1665709603960823</v>
      </c>
    </row>
    <row r="110" spans="1:7" x14ac:dyDescent="0.35">
      <c r="B110" s="12"/>
      <c r="C110" t="s">
        <v>20</v>
      </c>
      <c r="D110" s="6">
        <v>1.2796422243118299</v>
      </c>
      <c r="E110">
        <v>2.6</v>
      </c>
      <c r="F110" s="3">
        <f t="shared" si="4"/>
        <v>-1.3203577756881701</v>
      </c>
      <c r="G110" s="3">
        <f t="shared" si="5"/>
        <v>1.7433446558202121</v>
      </c>
    </row>
    <row r="111" spans="1:7" x14ac:dyDescent="0.35">
      <c r="B111" s="12"/>
      <c r="C111" t="s">
        <v>21</v>
      </c>
      <c r="D111" s="6">
        <v>1.6084678173065201</v>
      </c>
      <c r="E111">
        <v>2.4900000000000002</v>
      </c>
      <c r="F111" s="3">
        <f t="shared" si="4"/>
        <v>-0.8815321826934801</v>
      </c>
      <c r="G111" s="3">
        <f t="shared" si="5"/>
        <v>0.77709898912433117</v>
      </c>
    </row>
    <row r="112" spans="1:7" x14ac:dyDescent="0.35">
      <c r="B112" s="12"/>
      <c r="C112" t="s">
        <v>22</v>
      </c>
      <c r="D112" s="6">
        <v>2.74417304992676</v>
      </c>
      <c r="E112">
        <v>3.08</v>
      </c>
      <c r="F112" s="3">
        <f t="shared" si="4"/>
        <v>-0.33582695007324004</v>
      </c>
      <c r="G112" s="3">
        <f t="shared" si="5"/>
        <v>0.11277974039549446</v>
      </c>
    </row>
    <row r="113" spans="1:7" x14ac:dyDescent="0.35">
      <c r="B113" s="12"/>
      <c r="C113" t="s">
        <v>23</v>
      </c>
      <c r="D113" s="6">
        <v>1.5557951927185101</v>
      </c>
      <c r="E113">
        <v>2.31</v>
      </c>
      <c r="F113" s="3">
        <f t="shared" si="4"/>
        <v>-0.75420480728148998</v>
      </c>
      <c r="G113" s="3">
        <f t="shared" si="5"/>
        <v>0.56882489132650949</v>
      </c>
    </row>
    <row r="114" spans="1:7" x14ac:dyDescent="0.35">
      <c r="B114" s="12"/>
      <c r="C114" t="s">
        <v>24</v>
      </c>
      <c r="D114" s="6">
        <v>1.3411569595336901</v>
      </c>
      <c r="E114">
        <v>2.54</v>
      </c>
      <c r="F114" s="3">
        <f t="shared" si="4"/>
        <v>-1.19884304046631</v>
      </c>
      <c r="G114" s="3">
        <f t="shared" si="5"/>
        <v>1.4372246356745064</v>
      </c>
    </row>
    <row r="115" spans="1:7" x14ac:dyDescent="0.35">
      <c r="A115" s="1"/>
      <c r="B115" s="12"/>
      <c r="C115" t="s">
        <v>25</v>
      </c>
      <c r="D115" s="6">
        <v>3.0861001014709499</v>
      </c>
      <c r="E115">
        <v>4.24</v>
      </c>
      <c r="F115" s="3">
        <f t="shared" si="4"/>
        <v>-1.1538998985290503</v>
      </c>
      <c r="G115" s="3">
        <f t="shared" si="5"/>
        <v>1.3314849758253526</v>
      </c>
    </row>
    <row r="116" spans="1:7" x14ac:dyDescent="0.35">
      <c r="B116" s="12" t="s">
        <v>37</v>
      </c>
      <c r="C116" t="s">
        <v>27</v>
      </c>
      <c r="D116" s="6">
        <v>7.9618272781372097</v>
      </c>
      <c r="E116">
        <v>6.55</v>
      </c>
      <c r="F116" s="3">
        <f t="shared" si="4"/>
        <v>1.4118272781372099</v>
      </c>
      <c r="G116" s="3">
        <f t="shared" si="5"/>
        <v>1.9932562632923225</v>
      </c>
    </row>
    <row r="117" spans="1:7" x14ac:dyDescent="0.35">
      <c r="B117" s="12"/>
      <c r="C117" t="s">
        <v>28</v>
      </c>
      <c r="D117" s="6">
        <v>2.9149236679077202</v>
      </c>
      <c r="E117">
        <v>1.59</v>
      </c>
      <c r="F117" s="3">
        <f t="shared" si="4"/>
        <v>1.3249236679077201</v>
      </c>
      <c r="G117" s="3">
        <f t="shared" si="5"/>
        <v>1.7554227257820465</v>
      </c>
    </row>
    <row r="118" spans="1:7" x14ac:dyDescent="0.35">
      <c r="B118" s="12"/>
      <c r="C118" t="s">
        <v>29</v>
      </c>
      <c r="D118" s="6">
        <v>7.9541120529174796</v>
      </c>
      <c r="E118">
        <v>5.94</v>
      </c>
      <c r="F118" s="3">
        <f t="shared" si="4"/>
        <v>2.0141120529174792</v>
      </c>
      <c r="G118" s="3">
        <f t="shared" si="5"/>
        <v>4.0566473617074621</v>
      </c>
    </row>
    <row r="119" spans="1:7" x14ac:dyDescent="0.35">
      <c r="B119" s="12"/>
      <c r="C119" t="s">
        <v>30</v>
      </c>
      <c r="D119" s="6">
        <v>8.5244693756103498</v>
      </c>
      <c r="E119">
        <v>7.96</v>
      </c>
      <c r="F119" s="3">
        <f t="shared" si="4"/>
        <v>0.56446937561034982</v>
      </c>
      <c r="G119" s="3">
        <f t="shared" si="5"/>
        <v>0.3186256760019382</v>
      </c>
    </row>
    <row r="120" spans="1:7" x14ac:dyDescent="0.35">
      <c r="B120" s="12"/>
      <c r="C120" t="s">
        <v>11</v>
      </c>
      <c r="D120" s="6">
        <v>7.5633044242858896</v>
      </c>
      <c r="E120">
        <v>4.95</v>
      </c>
      <c r="F120" s="3">
        <f t="shared" si="4"/>
        <v>2.6133044242858894</v>
      </c>
      <c r="G120" s="3">
        <f t="shared" si="5"/>
        <v>6.8293600139922042</v>
      </c>
    </row>
    <row r="121" spans="1:7" x14ac:dyDescent="0.35">
      <c r="B121" s="12"/>
      <c r="C121" t="s">
        <v>13</v>
      </c>
      <c r="D121" s="6">
        <v>8.1803655624389702</v>
      </c>
      <c r="E121">
        <v>7.62</v>
      </c>
      <c r="F121" s="3">
        <f t="shared" si="4"/>
        <v>0.56036556243897007</v>
      </c>
      <c r="G121" s="3">
        <f t="shared" si="5"/>
        <v>0.31400956356754328</v>
      </c>
    </row>
    <row r="122" spans="1:7" x14ac:dyDescent="0.35">
      <c r="B122" s="12"/>
      <c r="C122" t="s">
        <v>14</v>
      </c>
      <c r="D122" s="6">
        <v>4.0383586883544904</v>
      </c>
      <c r="E122">
        <v>2.77</v>
      </c>
      <c r="F122" s="3">
        <f t="shared" si="4"/>
        <v>1.2683586883544904</v>
      </c>
      <c r="G122" s="3">
        <f t="shared" si="5"/>
        <v>1.6087337623243232</v>
      </c>
    </row>
    <row r="123" spans="1:7" x14ac:dyDescent="0.35">
      <c r="B123" s="12"/>
      <c r="C123" t="s">
        <v>16</v>
      </c>
      <c r="D123" s="6">
        <v>6.4694113731384304</v>
      </c>
      <c r="E123">
        <v>2.58</v>
      </c>
      <c r="F123" s="3">
        <f t="shared" si="4"/>
        <v>3.8894113731384303</v>
      </c>
      <c r="G123" s="3">
        <f t="shared" si="5"/>
        <v>15.12752082949857</v>
      </c>
    </row>
    <row r="124" spans="1:7" x14ac:dyDescent="0.35">
      <c r="A124">
        <v>9</v>
      </c>
      <c r="B124" s="12"/>
      <c r="C124" t="s">
        <v>17</v>
      </c>
      <c r="D124" s="6">
        <v>5.86962795257568</v>
      </c>
      <c r="E124">
        <v>1.98</v>
      </c>
      <c r="F124" s="3">
        <f t="shared" si="4"/>
        <v>3.8896279525756801</v>
      </c>
      <c r="G124" s="3">
        <f t="shared" si="5"/>
        <v>15.129205609458078</v>
      </c>
    </row>
    <row r="125" spans="1:7" x14ac:dyDescent="0.35">
      <c r="B125" s="12"/>
      <c r="C125" t="s">
        <v>19</v>
      </c>
      <c r="D125" s="6">
        <v>7.6049075126648003</v>
      </c>
      <c r="E125">
        <v>4.82</v>
      </c>
      <c r="F125" s="3">
        <f t="shared" si="4"/>
        <v>2.7849075126648</v>
      </c>
      <c r="G125" s="3">
        <f t="shared" si="5"/>
        <v>7.7557098540968425</v>
      </c>
    </row>
    <row r="126" spans="1:7" x14ac:dyDescent="0.35">
      <c r="B126" s="12"/>
      <c r="C126" t="s">
        <v>20</v>
      </c>
      <c r="D126" s="6">
        <v>6.4352269172668501</v>
      </c>
      <c r="E126">
        <v>4.29</v>
      </c>
      <c r="F126" s="3">
        <f t="shared" si="4"/>
        <v>2.1452269172668501</v>
      </c>
      <c r="G126" s="3">
        <f t="shared" si="5"/>
        <v>4.6019985265662333</v>
      </c>
    </row>
    <row r="127" spans="1:7" x14ac:dyDescent="0.35">
      <c r="B127" s="12"/>
      <c r="C127" t="s">
        <v>21</v>
      </c>
      <c r="D127" s="6">
        <v>6.3637981414794904</v>
      </c>
      <c r="E127">
        <v>2.4700000000000002</v>
      </c>
      <c r="F127" s="3">
        <f t="shared" si="4"/>
        <v>3.8937981414794902</v>
      </c>
      <c r="G127" s="3">
        <f t="shared" si="5"/>
        <v>15.161663966589131</v>
      </c>
    </row>
    <row r="128" spans="1:7" x14ac:dyDescent="0.35">
      <c r="B128" s="12"/>
      <c r="C128" t="s">
        <v>22</v>
      </c>
      <c r="D128" s="6">
        <v>6.17327833175659</v>
      </c>
      <c r="E128">
        <v>2.85</v>
      </c>
      <c r="F128" s="3">
        <f t="shared" si="4"/>
        <v>3.3232783317565899</v>
      </c>
      <c r="G128" s="3">
        <f t="shared" si="5"/>
        <v>11.044178870322863</v>
      </c>
    </row>
    <row r="129" spans="1:7" x14ac:dyDescent="0.35">
      <c r="B129" s="12"/>
      <c r="C129" t="s">
        <v>23</v>
      </c>
      <c r="D129" s="6">
        <v>5.8360567092895499</v>
      </c>
      <c r="E129">
        <v>2.34</v>
      </c>
      <c r="F129" s="3">
        <f t="shared" si="4"/>
        <v>3.49605670928955</v>
      </c>
      <c r="G129" s="3">
        <f t="shared" si="5"/>
        <v>12.222412514568477</v>
      </c>
    </row>
    <row r="130" spans="1:7" x14ac:dyDescent="0.35">
      <c r="B130" s="12"/>
      <c r="C130" t="s">
        <v>24</v>
      </c>
      <c r="D130" s="6">
        <v>6.6315684318542498</v>
      </c>
      <c r="E130">
        <v>2.89</v>
      </c>
      <c r="F130" s="3">
        <f t="shared" si="4"/>
        <v>3.7415684318542497</v>
      </c>
      <c r="G130" s="3">
        <f t="shared" si="5"/>
        <v>13.999334330248269</v>
      </c>
    </row>
    <row r="131" spans="1:7" x14ac:dyDescent="0.35">
      <c r="A131" s="1"/>
      <c r="B131" s="12"/>
      <c r="C131" t="s">
        <v>25</v>
      </c>
      <c r="D131" s="6">
        <v>7.7206749916076696</v>
      </c>
      <c r="E131">
        <v>7.58</v>
      </c>
      <c r="F131" s="3">
        <f t="shared" ref="F131:F194" si="6">D131-E131</f>
        <v>0.1406749916076695</v>
      </c>
      <c r="G131" s="3">
        <f t="shared" ref="G131:G194" si="7">F131^2</f>
        <v>1.9789453263817883E-2</v>
      </c>
    </row>
    <row r="132" spans="1:7" x14ac:dyDescent="0.35">
      <c r="B132" s="12" t="s">
        <v>38</v>
      </c>
      <c r="C132" t="s">
        <v>27</v>
      </c>
      <c r="D132" s="6">
        <v>4.0738792419433603</v>
      </c>
      <c r="E132">
        <v>3.8500000000000005</v>
      </c>
      <c r="F132" s="3">
        <f t="shared" si="6"/>
        <v>0.22387924194335973</v>
      </c>
      <c r="G132" s="3">
        <f t="shared" si="7"/>
        <v>5.0121914973133404E-2</v>
      </c>
    </row>
    <row r="133" spans="1:7" x14ac:dyDescent="0.35">
      <c r="B133" s="12"/>
      <c r="C133" t="s">
        <v>28</v>
      </c>
      <c r="D133" s="6">
        <v>1.35436511039734</v>
      </c>
      <c r="E133">
        <v>1.46</v>
      </c>
      <c r="F133" s="3">
        <f t="shared" si="6"/>
        <v>-0.10563488960265999</v>
      </c>
      <c r="G133" s="3">
        <f t="shared" si="7"/>
        <v>1.1158729901366163E-2</v>
      </c>
    </row>
    <row r="134" spans="1:7" x14ac:dyDescent="0.35">
      <c r="B134" s="12"/>
      <c r="C134" t="s">
        <v>29</v>
      </c>
      <c r="D134" s="6">
        <v>3.66083788871765</v>
      </c>
      <c r="E134">
        <v>4.41</v>
      </c>
      <c r="F134" s="3">
        <f t="shared" si="6"/>
        <v>-0.74916211128235011</v>
      </c>
      <c r="G134" s="3">
        <f t="shared" si="7"/>
        <v>0.56124386898102829</v>
      </c>
    </row>
    <row r="135" spans="1:7" x14ac:dyDescent="0.35">
      <c r="B135" s="12"/>
      <c r="C135" t="s">
        <v>30</v>
      </c>
      <c r="D135" s="6">
        <v>8.4517955780029297</v>
      </c>
      <c r="E135">
        <v>6.1000000000000005</v>
      </c>
      <c r="F135" s="3">
        <f t="shared" si="6"/>
        <v>2.3517955780029292</v>
      </c>
      <c r="G135" s="3">
        <f t="shared" si="7"/>
        <v>5.5309424407141314</v>
      </c>
    </row>
    <row r="136" spans="1:7" x14ac:dyDescent="0.35">
      <c r="B136" s="12"/>
      <c r="C136" t="s">
        <v>11</v>
      </c>
      <c r="D136" s="6">
        <v>2.3384270668029798</v>
      </c>
      <c r="E136">
        <v>3.4299999999999997</v>
      </c>
      <c r="F136" s="3">
        <f t="shared" si="6"/>
        <v>-1.0915729331970199</v>
      </c>
      <c r="G136" s="3">
        <f t="shared" si="7"/>
        <v>1.1915314684883456</v>
      </c>
    </row>
    <row r="137" spans="1:7" x14ac:dyDescent="0.35">
      <c r="B137" s="12"/>
      <c r="C137" t="s">
        <v>13</v>
      </c>
      <c r="D137" s="6">
        <v>1.90528893470764</v>
      </c>
      <c r="E137">
        <v>2.9400000000000004</v>
      </c>
      <c r="F137" s="3">
        <f t="shared" si="6"/>
        <v>-1.0347110652923603</v>
      </c>
      <c r="G137" s="3">
        <f t="shared" si="7"/>
        <v>1.0706269886384512</v>
      </c>
    </row>
    <row r="138" spans="1:7" x14ac:dyDescent="0.35">
      <c r="B138" s="12"/>
      <c r="C138" t="s">
        <v>14</v>
      </c>
      <c r="D138" s="6">
        <v>2.1225728988647501</v>
      </c>
      <c r="E138">
        <v>3.08</v>
      </c>
      <c r="F138" s="3">
        <f t="shared" si="6"/>
        <v>-0.95742710113524998</v>
      </c>
      <c r="G138" s="3">
        <f t="shared" si="7"/>
        <v>0.9166666539882482</v>
      </c>
    </row>
    <row r="139" spans="1:7" x14ac:dyDescent="0.35">
      <c r="B139" s="12"/>
      <c r="C139" t="s">
        <v>16</v>
      </c>
      <c r="D139" s="6">
        <v>2.4952099323272701</v>
      </c>
      <c r="E139">
        <v>3.42</v>
      </c>
      <c r="F139" s="3">
        <f t="shared" si="6"/>
        <v>-0.92479006767272987</v>
      </c>
      <c r="G139" s="3">
        <f t="shared" si="7"/>
        <v>0.85523666926613229</v>
      </c>
    </row>
    <row r="140" spans="1:7" x14ac:dyDescent="0.35">
      <c r="A140">
        <v>10</v>
      </c>
      <c r="B140" s="12"/>
      <c r="C140" t="s">
        <v>17</v>
      </c>
      <c r="D140" s="6">
        <v>1.8521910905837999</v>
      </c>
      <c r="E140">
        <v>2.39</v>
      </c>
      <c r="F140" s="3">
        <f t="shared" si="6"/>
        <v>-0.53780890941620019</v>
      </c>
      <c r="G140" s="3">
        <f t="shared" si="7"/>
        <v>0.28923842304744263</v>
      </c>
    </row>
    <row r="141" spans="1:7" x14ac:dyDescent="0.35">
      <c r="B141" s="12"/>
      <c r="C141" t="s">
        <v>19</v>
      </c>
      <c r="D141" s="6">
        <v>1.5725284814834599</v>
      </c>
      <c r="E141">
        <v>2.6900000000000004</v>
      </c>
      <c r="F141" s="3">
        <f t="shared" si="6"/>
        <v>-1.1174715185165405</v>
      </c>
      <c r="G141" s="3">
        <f t="shared" si="7"/>
        <v>1.248742594695663</v>
      </c>
    </row>
    <row r="142" spans="1:7" x14ac:dyDescent="0.35">
      <c r="B142" s="12"/>
      <c r="C142" t="s">
        <v>20</v>
      </c>
      <c r="D142" s="6">
        <v>2.67950439453125</v>
      </c>
      <c r="E142">
        <v>3.1799999999999997</v>
      </c>
      <c r="F142" s="3">
        <f t="shared" si="6"/>
        <v>-0.50049560546874972</v>
      </c>
      <c r="G142" s="3">
        <f t="shared" si="7"/>
        <v>0.2504958510935304</v>
      </c>
    </row>
    <row r="143" spans="1:7" x14ac:dyDescent="0.35">
      <c r="B143" s="12"/>
      <c r="C143" t="s">
        <v>21</v>
      </c>
      <c r="D143" s="6">
        <v>2.6814935207366899</v>
      </c>
      <c r="E143">
        <v>3.41</v>
      </c>
      <c r="F143" s="3">
        <f t="shared" si="6"/>
        <v>-0.72850647926331025</v>
      </c>
      <c r="G143" s="3">
        <f t="shared" si="7"/>
        <v>0.53072169032862393</v>
      </c>
    </row>
    <row r="144" spans="1:7" x14ac:dyDescent="0.35">
      <c r="B144" s="12"/>
      <c r="C144" t="s">
        <v>22</v>
      </c>
      <c r="D144" s="6">
        <v>3.46857810020447</v>
      </c>
      <c r="E144">
        <v>3.91</v>
      </c>
      <c r="F144" s="3">
        <f t="shared" si="6"/>
        <v>-0.44142189979553015</v>
      </c>
      <c r="G144" s="3">
        <f t="shared" si="7"/>
        <v>0.19485329361909506</v>
      </c>
    </row>
    <row r="145" spans="1:7" x14ac:dyDescent="0.35">
      <c r="B145" s="12"/>
      <c r="C145" t="s">
        <v>23</v>
      </c>
      <c r="D145" s="6">
        <v>1.7326465845107999</v>
      </c>
      <c r="E145">
        <v>2.7700000000000005</v>
      </c>
      <c r="F145" s="3">
        <f t="shared" si="6"/>
        <v>-1.0373534154892006</v>
      </c>
      <c r="G145" s="3">
        <f t="shared" si="7"/>
        <v>1.0761021086271101</v>
      </c>
    </row>
    <row r="146" spans="1:7" x14ac:dyDescent="0.35">
      <c r="B146" s="12"/>
      <c r="C146" t="s">
        <v>24</v>
      </c>
      <c r="D146" s="6">
        <v>1.7189974784851101</v>
      </c>
      <c r="E146">
        <v>2.33</v>
      </c>
      <c r="F146" s="3">
        <f t="shared" si="6"/>
        <v>-0.61100252151488998</v>
      </c>
      <c r="G146" s="3">
        <f t="shared" si="7"/>
        <v>0.37332408129755362</v>
      </c>
    </row>
    <row r="147" spans="1:7" x14ac:dyDescent="0.35">
      <c r="A147" s="1"/>
      <c r="B147" s="12"/>
      <c r="C147" t="s">
        <v>25</v>
      </c>
      <c r="D147" s="6">
        <v>4.8496851921081499</v>
      </c>
      <c r="E147">
        <v>5.82</v>
      </c>
      <c r="F147" s="3">
        <f t="shared" si="6"/>
        <v>-0.97031480789185043</v>
      </c>
      <c r="G147" s="3">
        <f t="shared" si="7"/>
        <v>0.94151082641419859</v>
      </c>
    </row>
    <row r="148" spans="1:7" x14ac:dyDescent="0.35">
      <c r="B148" s="12" t="s">
        <v>39</v>
      </c>
      <c r="C148" t="s">
        <v>20</v>
      </c>
      <c r="D148" s="6">
        <v>1.4560068845748899</v>
      </c>
      <c r="E148">
        <v>2.41</v>
      </c>
      <c r="F148" s="3">
        <f t="shared" si="6"/>
        <v>-0.95399311542511023</v>
      </c>
      <c r="G148" s="3">
        <f t="shared" si="7"/>
        <v>0.91010286427850773</v>
      </c>
    </row>
    <row r="149" spans="1:7" x14ac:dyDescent="0.35">
      <c r="B149" s="12"/>
      <c r="C149" t="s">
        <v>21</v>
      </c>
      <c r="D149" s="6">
        <v>1.55275595188141</v>
      </c>
      <c r="E149">
        <v>2.46</v>
      </c>
      <c r="F149" s="3">
        <f t="shared" si="6"/>
        <v>-0.90724404811858994</v>
      </c>
      <c r="G149" s="3">
        <f t="shared" si="7"/>
        <v>0.82309176284660635</v>
      </c>
    </row>
    <row r="150" spans="1:7" x14ac:dyDescent="0.35">
      <c r="B150" s="12"/>
      <c r="C150" t="s">
        <v>22</v>
      </c>
      <c r="D150" s="6">
        <v>2.3596782684326199</v>
      </c>
      <c r="E150">
        <v>3.12</v>
      </c>
      <c r="F150" s="3">
        <f t="shared" si="6"/>
        <v>-0.76032173156738025</v>
      </c>
      <c r="G150" s="3">
        <f t="shared" si="7"/>
        <v>0.5780891354936194</v>
      </c>
    </row>
    <row r="151" spans="1:7" x14ac:dyDescent="0.35">
      <c r="B151" s="12"/>
      <c r="C151" t="s">
        <v>23</v>
      </c>
      <c r="D151" s="6">
        <v>1.44899773597717</v>
      </c>
      <c r="E151">
        <v>2.12</v>
      </c>
      <c r="F151" s="3">
        <f t="shared" si="6"/>
        <v>-0.67100226402283014</v>
      </c>
      <c r="G151" s="3">
        <f t="shared" si="7"/>
        <v>0.45024403832376386</v>
      </c>
    </row>
    <row r="152" spans="1:7" x14ac:dyDescent="0.35">
      <c r="A152">
        <v>11</v>
      </c>
      <c r="B152" s="12"/>
      <c r="C152" t="s">
        <v>24</v>
      </c>
      <c r="D152" s="6">
        <v>1.2768319845199601</v>
      </c>
      <c r="E152">
        <v>2.1</v>
      </c>
      <c r="F152" s="3">
        <f t="shared" si="6"/>
        <v>-0.82316801548004004</v>
      </c>
      <c r="G152" s="3">
        <f t="shared" si="7"/>
        <v>0.67760558170934748</v>
      </c>
    </row>
    <row r="153" spans="1:7" x14ac:dyDescent="0.35">
      <c r="A153" s="1"/>
      <c r="B153" s="12"/>
      <c r="C153" t="s">
        <v>25</v>
      </c>
      <c r="D153" s="6">
        <v>2.5884561538696298</v>
      </c>
      <c r="E153">
        <v>4.07</v>
      </c>
      <c r="F153" s="3">
        <f t="shared" si="6"/>
        <v>-1.4815438461303705</v>
      </c>
      <c r="G153" s="3">
        <f t="shared" si="7"/>
        <v>2.1949721680067711</v>
      </c>
    </row>
    <row r="154" spans="1:7" x14ac:dyDescent="0.35">
      <c r="B154" s="12" t="s">
        <v>40</v>
      </c>
      <c r="C154" t="s">
        <v>27</v>
      </c>
      <c r="D154" s="6">
        <v>4.8929705619812003</v>
      </c>
      <c r="E154">
        <v>3.9799999999999995</v>
      </c>
      <c r="F154" s="3">
        <f t="shared" si="6"/>
        <v>0.91297056198120075</v>
      </c>
      <c r="G154" s="3">
        <f t="shared" si="7"/>
        <v>0.83351524704426949</v>
      </c>
    </row>
    <row r="155" spans="1:7" x14ac:dyDescent="0.35">
      <c r="B155" s="12"/>
      <c r="C155" t="s">
        <v>28</v>
      </c>
      <c r="D155" s="6">
        <v>1.3260631561279299</v>
      </c>
      <c r="E155">
        <v>1.33</v>
      </c>
      <c r="F155" s="3">
        <f t="shared" si="6"/>
        <v>-3.9368438720701615E-3</v>
      </c>
      <c r="G155" s="3">
        <f t="shared" si="7"/>
        <v>1.5498739673056383E-5</v>
      </c>
    </row>
    <row r="156" spans="1:7" x14ac:dyDescent="0.35">
      <c r="B156" s="12"/>
      <c r="C156" t="s">
        <v>29</v>
      </c>
      <c r="D156" s="6">
        <v>3.5101194381713898</v>
      </c>
      <c r="E156">
        <v>4.24</v>
      </c>
      <c r="F156" s="3">
        <f t="shared" si="6"/>
        <v>-0.72988056182861039</v>
      </c>
      <c r="G156" s="3">
        <f t="shared" si="7"/>
        <v>0.5327256345352479</v>
      </c>
    </row>
    <row r="157" spans="1:7" x14ac:dyDescent="0.35">
      <c r="B157" s="12"/>
      <c r="C157" t="s">
        <v>30</v>
      </c>
      <c r="D157" s="6">
        <v>7.0889930725097701</v>
      </c>
      <c r="E157">
        <v>5.96</v>
      </c>
      <c r="F157" s="3">
        <f t="shared" si="6"/>
        <v>1.1289930725097701</v>
      </c>
      <c r="G157" s="3">
        <f t="shared" si="7"/>
        <v>1.274625357775051</v>
      </c>
    </row>
    <row r="158" spans="1:7" x14ac:dyDescent="0.35">
      <c r="B158" s="12"/>
      <c r="C158" t="s">
        <v>11</v>
      </c>
      <c r="D158" s="6">
        <v>2.2785804271697998</v>
      </c>
      <c r="E158">
        <v>3.2199999999999998</v>
      </c>
      <c r="F158" s="3">
        <f t="shared" si="6"/>
        <v>-0.94141957283019995</v>
      </c>
      <c r="G158" s="3">
        <f t="shared" si="7"/>
        <v>0.88627081210779612</v>
      </c>
    </row>
    <row r="159" spans="1:7" x14ac:dyDescent="0.35">
      <c r="B159" s="12"/>
      <c r="C159" t="s">
        <v>13</v>
      </c>
      <c r="D159" s="6">
        <v>2.2421641349792498</v>
      </c>
      <c r="E159">
        <v>2.98</v>
      </c>
      <c r="F159" s="3">
        <f t="shared" si="6"/>
        <v>-0.73783586502075016</v>
      </c>
      <c r="G159" s="3">
        <f t="shared" si="7"/>
        <v>0.54440176371091864</v>
      </c>
    </row>
    <row r="160" spans="1:7" x14ac:dyDescent="0.35">
      <c r="B160" s="12"/>
      <c r="C160" t="s">
        <v>14</v>
      </c>
      <c r="D160" s="6">
        <v>2.04465532302856</v>
      </c>
      <c r="E160">
        <v>2.78</v>
      </c>
      <c r="F160" s="3">
        <f t="shared" si="6"/>
        <v>-0.73534467697143979</v>
      </c>
      <c r="G160" s="3">
        <f t="shared" si="7"/>
        <v>0.54073179395023119</v>
      </c>
    </row>
    <row r="161" spans="1:7" x14ac:dyDescent="0.35">
      <c r="A161">
        <v>12</v>
      </c>
      <c r="B161" s="12"/>
      <c r="C161" t="s">
        <v>16</v>
      </c>
      <c r="D161" s="6">
        <v>2.3596179485321001</v>
      </c>
      <c r="E161">
        <v>3.01</v>
      </c>
      <c r="F161" s="3">
        <f t="shared" si="6"/>
        <v>-0.65038205146789974</v>
      </c>
      <c r="G161" s="3">
        <f t="shared" si="7"/>
        <v>0.4229968128715938</v>
      </c>
    </row>
    <row r="162" spans="1:7" x14ac:dyDescent="0.35">
      <c r="B162" s="12"/>
      <c r="C162" t="s">
        <v>17</v>
      </c>
      <c r="D162" s="6">
        <v>1.76886594295502</v>
      </c>
      <c r="E162">
        <v>2.0499999999999998</v>
      </c>
      <c r="F162" s="3">
        <f t="shared" si="6"/>
        <v>-0.28113405704497985</v>
      </c>
      <c r="G162" s="3">
        <f t="shared" si="7"/>
        <v>7.9036358030569978E-2</v>
      </c>
    </row>
    <row r="163" spans="1:7" x14ac:dyDescent="0.35">
      <c r="B163" s="12"/>
      <c r="C163" t="s">
        <v>19</v>
      </c>
      <c r="D163" s="6">
        <v>1.5771850347518901</v>
      </c>
      <c r="E163">
        <v>2.38</v>
      </c>
      <c r="F163" s="3">
        <f t="shared" si="6"/>
        <v>-0.8028149652481098</v>
      </c>
      <c r="G163" s="3">
        <f t="shared" si="7"/>
        <v>0.6445118684263238</v>
      </c>
    </row>
    <row r="164" spans="1:7" x14ac:dyDescent="0.35">
      <c r="B164" s="12"/>
      <c r="C164" t="s">
        <v>20</v>
      </c>
      <c r="D164" s="6">
        <v>2.4269831180572501</v>
      </c>
      <c r="E164">
        <v>2.82</v>
      </c>
      <c r="F164" s="3">
        <f t="shared" si="6"/>
        <v>-0.39301688194274975</v>
      </c>
      <c r="G164" s="3">
        <f t="shared" si="7"/>
        <v>0.15446226949200129</v>
      </c>
    </row>
    <row r="165" spans="1:7" x14ac:dyDescent="0.35">
      <c r="B165" s="12"/>
      <c r="C165" t="s">
        <v>21</v>
      </c>
      <c r="D165" s="6">
        <v>2.5161905288696298</v>
      </c>
      <c r="E165">
        <v>3.07</v>
      </c>
      <c r="F165" s="3">
        <f t="shared" si="6"/>
        <v>-0.55380947113037005</v>
      </c>
      <c r="G165" s="3">
        <f t="shared" si="7"/>
        <v>0.30670493031370016</v>
      </c>
    </row>
    <row r="166" spans="1:7" x14ac:dyDescent="0.35">
      <c r="B166" s="12"/>
      <c r="C166" t="s">
        <v>22</v>
      </c>
      <c r="D166" s="6">
        <v>3.2574110031127899</v>
      </c>
      <c r="E166">
        <v>3.54</v>
      </c>
      <c r="F166" s="3">
        <f t="shared" si="6"/>
        <v>-0.28258899688721018</v>
      </c>
      <c r="G166" s="3">
        <f t="shared" si="7"/>
        <v>7.9856541161719682E-2</v>
      </c>
    </row>
    <row r="167" spans="1:7" x14ac:dyDescent="0.35">
      <c r="B167" s="12"/>
      <c r="C167" t="s">
        <v>23</v>
      </c>
      <c r="D167" s="6">
        <v>3.1734673976898198</v>
      </c>
      <c r="E167">
        <v>2.4499999999999997</v>
      </c>
      <c r="F167" s="3">
        <f t="shared" si="6"/>
        <v>0.72346739768982005</v>
      </c>
      <c r="G167" s="3">
        <f t="shared" si="7"/>
        <v>0.5234050755200802</v>
      </c>
    </row>
    <row r="168" spans="1:7" x14ac:dyDescent="0.35">
      <c r="B168" s="12"/>
      <c r="C168" t="s">
        <v>24</v>
      </c>
      <c r="D168" s="6">
        <v>1.6521128416061399</v>
      </c>
      <c r="E168">
        <v>2.0699999999999998</v>
      </c>
      <c r="F168" s="3">
        <f t="shared" si="6"/>
        <v>-0.41788715839385993</v>
      </c>
      <c r="G168" s="3">
        <f t="shared" si="7"/>
        <v>0.17462967715049496</v>
      </c>
    </row>
    <row r="169" spans="1:7" x14ac:dyDescent="0.35">
      <c r="A169" s="1"/>
      <c r="B169" s="12"/>
      <c r="C169" t="s">
        <v>25</v>
      </c>
      <c r="D169" s="6">
        <v>3.73580694198608</v>
      </c>
      <c r="E169">
        <v>4.99</v>
      </c>
      <c r="F169" s="3">
        <f t="shared" si="6"/>
        <v>-1.2541930580139202</v>
      </c>
      <c r="G169" s="3">
        <f t="shared" si="7"/>
        <v>1.5730002267703087</v>
      </c>
    </row>
    <row r="170" spans="1:7" x14ac:dyDescent="0.35">
      <c r="B170" s="12" t="s">
        <v>41</v>
      </c>
      <c r="C170" t="s">
        <v>11</v>
      </c>
      <c r="D170" s="6">
        <v>3.0304300785064702</v>
      </c>
      <c r="E170">
        <v>3.64</v>
      </c>
      <c r="F170" s="3">
        <f t="shared" si="6"/>
        <v>-0.60956992149352995</v>
      </c>
      <c r="G170" s="3">
        <f t="shared" si="7"/>
        <v>0.37157548918962829</v>
      </c>
    </row>
    <row r="171" spans="1:7" x14ac:dyDescent="0.35">
      <c r="B171" s="12"/>
      <c r="C171" t="s">
        <v>13</v>
      </c>
      <c r="D171" s="6">
        <v>3.3617844581603999</v>
      </c>
      <c r="E171">
        <v>3.63</v>
      </c>
      <c r="F171" s="3">
        <f t="shared" si="6"/>
        <v>-0.26821554183959995</v>
      </c>
      <c r="G171" s="3">
        <f t="shared" si="7"/>
        <v>7.1939576884310186E-2</v>
      </c>
    </row>
    <row r="172" spans="1:7" x14ac:dyDescent="0.35">
      <c r="B172" s="12"/>
      <c r="C172" t="s">
        <v>14</v>
      </c>
      <c r="D172" s="6">
        <v>1.8728837966918901</v>
      </c>
      <c r="E172">
        <v>2.78</v>
      </c>
      <c r="F172" s="3">
        <f t="shared" si="6"/>
        <v>-0.90711620330810971</v>
      </c>
      <c r="G172" s="3">
        <f t="shared" si="7"/>
        <v>0.82285980630411981</v>
      </c>
    </row>
    <row r="173" spans="1:7" x14ac:dyDescent="0.35">
      <c r="B173" s="12"/>
      <c r="C173" t="s">
        <v>16</v>
      </c>
      <c r="D173" s="6">
        <v>3.5841221809387198</v>
      </c>
      <c r="E173">
        <v>3.5</v>
      </c>
      <c r="F173" s="3">
        <f t="shared" si="6"/>
        <v>8.4122180938719815E-2</v>
      </c>
      <c r="G173" s="3">
        <f t="shared" si="7"/>
        <v>7.0765413258867156E-3</v>
      </c>
    </row>
    <row r="174" spans="1:7" x14ac:dyDescent="0.35">
      <c r="B174" s="12"/>
      <c r="C174" t="s">
        <v>17</v>
      </c>
      <c r="D174" s="6">
        <v>1.5585350990295399</v>
      </c>
      <c r="E174">
        <v>2.15</v>
      </c>
      <c r="F174" s="3">
        <f t="shared" si="6"/>
        <v>-0.59146490097046001</v>
      </c>
      <c r="G174" s="3">
        <f t="shared" si="7"/>
        <v>0.34983072907999607</v>
      </c>
    </row>
    <row r="175" spans="1:7" x14ac:dyDescent="0.35">
      <c r="B175" s="12"/>
      <c r="C175" t="s">
        <v>19</v>
      </c>
      <c r="D175" s="6">
        <v>2.0701386928558398</v>
      </c>
      <c r="E175">
        <v>2.89</v>
      </c>
      <c r="F175" s="3">
        <f t="shared" si="6"/>
        <v>-0.81986130714416028</v>
      </c>
      <c r="G175" s="3">
        <f t="shared" si="7"/>
        <v>0.67217256295213113</v>
      </c>
    </row>
    <row r="176" spans="1:7" x14ac:dyDescent="0.35">
      <c r="A176">
        <v>13</v>
      </c>
      <c r="B176" s="12"/>
      <c r="C176" t="s">
        <v>20</v>
      </c>
      <c r="D176" s="6">
        <v>2.6317408084869398</v>
      </c>
      <c r="E176">
        <v>3.08</v>
      </c>
      <c r="F176" s="3">
        <f t="shared" si="6"/>
        <v>-0.44825919151306026</v>
      </c>
      <c r="G176" s="3">
        <f t="shared" si="7"/>
        <v>0.20093630277594243</v>
      </c>
    </row>
    <row r="177" spans="1:7" x14ac:dyDescent="0.35">
      <c r="B177" s="12"/>
      <c r="C177" t="s">
        <v>21</v>
      </c>
      <c r="D177" s="6">
        <v>2.56960129737854</v>
      </c>
      <c r="E177">
        <v>3.2</v>
      </c>
      <c r="F177" s="3">
        <f t="shared" si="6"/>
        <v>-0.63039870262146014</v>
      </c>
      <c r="G177" s="3">
        <f t="shared" si="7"/>
        <v>0.39740252426682016</v>
      </c>
    </row>
    <row r="178" spans="1:7" x14ac:dyDescent="0.35">
      <c r="B178" s="12"/>
      <c r="C178" t="s">
        <v>22</v>
      </c>
      <c r="D178" s="6">
        <v>3.2625987529754599</v>
      </c>
      <c r="E178">
        <v>3.64</v>
      </c>
      <c r="F178" s="3">
        <f t="shared" si="6"/>
        <v>-0.37740124702454025</v>
      </c>
      <c r="G178" s="3">
        <f t="shared" si="7"/>
        <v>0.14243170125567806</v>
      </c>
    </row>
    <row r="179" spans="1:7" x14ac:dyDescent="0.35">
      <c r="B179" s="12"/>
      <c r="C179" t="s">
        <v>23</v>
      </c>
      <c r="D179" s="6">
        <v>6.3795046806335503</v>
      </c>
      <c r="E179">
        <v>3.86</v>
      </c>
      <c r="F179" s="3">
        <f t="shared" si="6"/>
        <v>2.5195046806335504</v>
      </c>
      <c r="G179" s="3">
        <f t="shared" si="7"/>
        <v>6.3479038357343684</v>
      </c>
    </row>
    <row r="180" spans="1:7" x14ac:dyDescent="0.35">
      <c r="B180" s="12"/>
      <c r="C180" t="s">
        <v>24</v>
      </c>
      <c r="D180" s="6">
        <v>1.6122235059738199</v>
      </c>
      <c r="E180">
        <v>2.25</v>
      </c>
      <c r="F180" s="3">
        <f t="shared" si="6"/>
        <v>-0.63777649402618009</v>
      </c>
      <c r="G180" s="3">
        <f t="shared" si="7"/>
        <v>0.40675885633232611</v>
      </c>
    </row>
    <row r="181" spans="1:7" x14ac:dyDescent="0.35">
      <c r="A181" s="1"/>
      <c r="B181" s="12"/>
      <c r="C181" t="s">
        <v>25</v>
      </c>
      <c r="D181" s="6">
        <v>5.4548311233520499</v>
      </c>
      <c r="E181">
        <v>5.19</v>
      </c>
      <c r="F181" s="3">
        <f t="shared" si="6"/>
        <v>0.2648311233520495</v>
      </c>
      <c r="G181" s="3">
        <f t="shared" si="7"/>
        <v>7.0135523895908464E-2</v>
      </c>
    </row>
    <row r="182" spans="1:7" x14ac:dyDescent="0.35">
      <c r="B182" s="7" t="s">
        <v>42</v>
      </c>
      <c r="C182" t="s">
        <v>27</v>
      </c>
      <c r="D182" s="6">
        <v>9.2662305831909197</v>
      </c>
      <c r="E182">
        <v>7.98</v>
      </c>
      <c r="F182" s="3">
        <f t="shared" si="6"/>
        <v>1.2862305831909193</v>
      </c>
      <c r="G182" s="3">
        <f t="shared" si="7"/>
        <v>1.6543891131356525</v>
      </c>
    </row>
    <row r="183" spans="1:7" x14ac:dyDescent="0.35">
      <c r="C183" t="s">
        <v>28</v>
      </c>
      <c r="D183" s="6">
        <v>3.68542551994324</v>
      </c>
      <c r="E183">
        <v>1.91</v>
      </c>
      <c r="F183" s="3">
        <f t="shared" si="6"/>
        <v>1.77542551994324</v>
      </c>
      <c r="G183" s="3">
        <f t="shared" si="7"/>
        <v>3.1521357768657241</v>
      </c>
    </row>
    <row r="184" spans="1:7" x14ac:dyDescent="0.35">
      <c r="A184">
        <v>14</v>
      </c>
      <c r="C184" t="s">
        <v>29</v>
      </c>
      <c r="D184" s="6">
        <v>6.39343357086182</v>
      </c>
      <c r="E184">
        <v>5.25</v>
      </c>
      <c r="F184" s="3">
        <f t="shared" si="6"/>
        <v>1.14343357086182</v>
      </c>
      <c r="G184" s="3">
        <f t="shared" si="7"/>
        <v>1.3074403309738127</v>
      </c>
    </row>
    <row r="185" spans="1:7" x14ac:dyDescent="0.35">
      <c r="C185" t="s">
        <v>30</v>
      </c>
      <c r="D185" s="6">
        <v>9.1767826080322301</v>
      </c>
      <c r="E185">
        <v>8.9499999999999993</v>
      </c>
      <c r="F185" s="3">
        <f t="shared" si="6"/>
        <v>0.22678260803223083</v>
      </c>
      <c r="G185" s="3">
        <f t="shared" si="7"/>
        <v>5.1430351305900443E-2</v>
      </c>
    </row>
    <row r="186" spans="1:7" x14ac:dyDescent="0.35">
      <c r="C186" t="s">
        <v>11</v>
      </c>
      <c r="D186" s="6">
        <v>5.4484338760376003</v>
      </c>
      <c r="E186">
        <v>5.28</v>
      </c>
      <c r="F186" s="3">
        <f t="shared" si="6"/>
        <v>0.16843387603760007</v>
      </c>
      <c r="G186" s="3">
        <f t="shared" si="7"/>
        <v>2.8369970597049626E-2</v>
      </c>
    </row>
    <row r="187" spans="1:7" x14ac:dyDescent="0.35">
      <c r="C187" t="s">
        <v>13</v>
      </c>
      <c r="D187" s="6">
        <v>6.5727596282959002</v>
      </c>
      <c r="E187">
        <v>6.31</v>
      </c>
      <c r="F187" s="3">
        <f t="shared" si="6"/>
        <v>0.2627596282959006</v>
      </c>
      <c r="G187" s="3">
        <f t="shared" si="7"/>
        <v>6.9042622262199843E-2</v>
      </c>
    </row>
    <row r="188" spans="1:7" x14ac:dyDescent="0.35">
      <c r="C188" t="s">
        <v>14</v>
      </c>
      <c r="D188" s="6">
        <v>4.5751504898071298</v>
      </c>
      <c r="E188">
        <v>3.27</v>
      </c>
      <c r="F188" s="3">
        <f t="shared" si="6"/>
        <v>1.3051504898071298</v>
      </c>
      <c r="G188" s="3">
        <f t="shared" si="7"/>
        <v>1.7034178010437908</v>
      </c>
    </row>
    <row r="189" spans="1:7" x14ac:dyDescent="0.35">
      <c r="C189" t="s">
        <v>16</v>
      </c>
      <c r="D189" s="6">
        <v>5.1694192886352504</v>
      </c>
      <c r="E189">
        <v>4.05</v>
      </c>
      <c r="F189" s="3">
        <f t="shared" si="6"/>
        <v>1.1194192886352505</v>
      </c>
      <c r="G189" s="3">
        <f t="shared" si="7"/>
        <v>1.2530995437686503</v>
      </c>
    </row>
    <row r="190" spans="1:7" x14ac:dyDescent="0.35">
      <c r="C190" t="s">
        <v>17</v>
      </c>
      <c r="D190" s="6">
        <v>4.9298162460327202</v>
      </c>
      <c r="E190">
        <v>2.66</v>
      </c>
      <c r="F190" s="3">
        <f t="shared" si="6"/>
        <v>2.26981624603272</v>
      </c>
      <c r="G190" s="3">
        <f t="shared" si="7"/>
        <v>5.1520657907540697</v>
      </c>
    </row>
    <row r="191" spans="1:7" x14ac:dyDescent="0.35">
      <c r="C191" t="s">
        <v>19</v>
      </c>
      <c r="D191" s="6">
        <v>5.7497696876525897</v>
      </c>
      <c r="E191">
        <v>5.07</v>
      </c>
      <c r="F191" s="3">
        <f t="shared" si="6"/>
        <v>0.67976968765258938</v>
      </c>
      <c r="G191" s="3">
        <f t="shared" si="7"/>
        <v>0.46208682825129893</v>
      </c>
    </row>
    <row r="192" spans="1:7" x14ac:dyDescent="0.35">
      <c r="C192" t="s">
        <v>20</v>
      </c>
      <c r="D192" s="6">
        <v>5.1936402320861799</v>
      </c>
      <c r="E192">
        <v>3.37</v>
      </c>
      <c r="F192" s="3">
        <f t="shared" si="6"/>
        <v>1.8236402320861798</v>
      </c>
      <c r="G192" s="3">
        <f t="shared" si="7"/>
        <v>3.3256636960833355</v>
      </c>
    </row>
    <row r="193" spans="1:7" x14ac:dyDescent="0.35">
      <c r="C193" t="s">
        <v>21</v>
      </c>
      <c r="D193" s="6">
        <v>5.1192474365234402</v>
      </c>
      <c r="E193">
        <v>3.81</v>
      </c>
      <c r="F193" s="3">
        <f t="shared" si="6"/>
        <v>1.3092474365234401</v>
      </c>
      <c r="G193" s="3">
        <f t="shared" si="7"/>
        <v>1.7141288500431993</v>
      </c>
    </row>
    <row r="194" spans="1:7" x14ac:dyDescent="0.35">
      <c r="C194" t="s">
        <v>22</v>
      </c>
      <c r="D194" s="6">
        <v>4.9321317672729501</v>
      </c>
      <c r="E194">
        <v>4.16</v>
      </c>
      <c r="F194" s="3">
        <f t="shared" si="6"/>
        <v>0.77213176727294996</v>
      </c>
      <c r="G194" s="3">
        <f t="shared" si="7"/>
        <v>0.59618746603204897</v>
      </c>
    </row>
    <row r="195" spans="1:7" x14ac:dyDescent="0.35">
      <c r="C195" t="s">
        <v>23</v>
      </c>
      <c r="D195" s="6">
        <v>6.3791599273681596</v>
      </c>
      <c r="E195">
        <v>4.4400000000000004</v>
      </c>
      <c r="F195" s="3">
        <f t="shared" ref="F195:F257" si="8">D195-E195</f>
        <v>1.9391599273681592</v>
      </c>
      <c r="G195" s="3">
        <f t="shared" ref="G195:G257" si="9">F195^2</f>
        <v>3.7603412239104848</v>
      </c>
    </row>
    <row r="196" spans="1:7" x14ac:dyDescent="0.35">
      <c r="C196" t="s">
        <v>24</v>
      </c>
      <c r="D196" s="6">
        <v>5.0833597183227504</v>
      </c>
      <c r="E196">
        <v>2.88</v>
      </c>
      <c r="F196" s="3">
        <f t="shared" si="8"/>
        <v>2.2033597183227505</v>
      </c>
      <c r="G196" s="3">
        <f t="shared" si="9"/>
        <v>4.8547940483273102</v>
      </c>
    </row>
    <row r="197" spans="1:7" x14ac:dyDescent="0.35">
      <c r="A197" s="8"/>
      <c r="B197" s="9"/>
      <c r="C197" t="s">
        <v>25</v>
      </c>
      <c r="D197" s="6">
        <v>6.7741074562072798</v>
      </c>
      <c r="E197">
        <v>7.24</v>
      </c>
      <c r="F197" s="3">
        <f t="shared" si="8"/>
        <v>-0.46589254379272038</v>
      </c>
      <c r="G197" s="3">
        <f t="shared" si="9"/>
        <v>0.21705586236165189</v>
      </c>
    </row>
    <row r="198" spans="1:7" x14ac:dyDescent="0.35">
      <c r="A198" s="1"/>
      <c r="B198" s="14" t="s">
        <v>43</v>
      </c>
      <c r="C198" t="s">
        <v>27</v>
      </c>
      <c r="D198" s="6">
        <v>9.3495330810546893</v>
      </c>
      <c r="E198">
        <v>8.3600000000000012</v>
      </c>
      <c r="F198" s="3">
        <f t="shared" si="8"/>
        <v>0.98953308105468807</v>
      </c>
      <c r="G198" s="3">
        <f t="shared" si="9"/>
        <v>0.97917571850158391</v>
      </c>
    </row>
    <row r="199" spans="1:7" x14ac:dyDescent="0.35">
      <c r="A199" s="1"/>
      <c r="B199" s="14"/>
      <c r="C199" t="s">
        <v>28</v>
      </c>
      <c r="D199" s="6">
        <v>1.3462396860122701</v>
      </c>
      <c r="E199">
        <v>1.3299999999999998</v>
      </c>
      <c r="F199" s="3">
        <f t="shared" si="8"/>
        <v>1.6239686012270216E-2</v>
      </c>
      <c r="G199" s="3">
        <f t="shared" si="9"/>
        <v>2.6372740177712492E-4</v>
      </c>
    </row>
    <row r="200" spans="1:7" x14ac:dyDescent="0.35">
      <c r="A200" s="1"/>
      <c r="B200" s="14"/>
      <c r="C200" t="s">
        <v>29</v>
      </c>
      <c r="D200" s="6">
        <v>5.52766990661621</v>
      </c>
      <c r="E200">
        <v>4.7699999999999996</v>
      </c>
      <c r="F200" s="3">
        <f t="shared" si="8"/>
        <v>0.75766990661621048</v>
      </c>
      <c r="G200" s="3">
        <f t="shared" si="9"/>
        <v>0.57406368739181712</v>
      </c>
    </row>
    <row r="201" spans="1:7" x14ac:dyDescent="0.35">
      <c r="A201" s="1"/>
      <c r="B201" s="14"/>
      <c r="C201" t="s">
        <v>30</v>
      </c>
      <c r="D201" s="6">
        <v>9.2490892410278303</v>
      </c>
      <c r="E201">
        <v>7.56</v>
      </c>
      <c r="F201" s="3">
        <f t="shared" si="8"/>
        <v>1.6890892410278306</v>
      </c>
      <c r="G201" s="3">
        <f t="shared" si="9"/>
        <v>2.8530224641559729</v>
      </c>
    </row>
    <row r="202" spans="1:7" x14ac:dyDescent="0.35">
      <c r="A202" s="1"/>
      <c r="B202" s="14"/>
      <c r="C202" t="s">
        <v>11</v>
      </c>
      <c r="D202" s="6">
        <v>3.1025092601776101</v>
      </c>
      <c r="E202">
        <v>3.59</v>
      </c>
      <c r="F202" s="3">
        <f t="shared" si="8"/>
        <v>-0.48749073982238977</v>
      </c>
      <c r="G202" s="3">
        <f t="shared" si="9"/>
        <v>0.23764722141258091</v>
      </c>
    </row>
    <row r="203" spans="1:7" x14ac:dyDescent="0.35">
      <c r="A203" s="1"/>
      <c r="B203" s="14"/>
      <c r="C203" t="s">
        <v>13</v>
      </c>
      <c r="D203" s="6">
        <v>3.41788983345032</v>
      </c>
      <c r="E203">
        <v>3.5199999999999996</v>
      </c>
      <c r="F203" s="3">
        <f t="shared" si="8"/>
        <v>-0.10211016654967953</v>
      </c>
      <c r="G203" s="3">
        <f t="shared" si="9"/>
        <v>1.0426486112803291E-2</v>
      </c>
    </row>
    <row r="204" spans="1:7" x14ac:dyDescent="0.35">
      <c r="A204" s="1"/>
      <c r="B204" s="14"/>
      <c r="C204" t="s">
        <v>14</v>
      </c>
      <c r="D204" s="6">
        <v>2.0597894191741899</v>
      </c>
      <c r="E204">
        <v>2.8</v>
      </c>
      <c r="F204" s="3">
        <f t="shared" si="8"/>
        <v>-0.74021058082580993</v>
      </c>
      <c r="G204" s="3">
        <f t="shared" si="9"/>
        <v>0.54791170396648292</v>
      </c>
    </row>
    <row r="205" spans="1:7" x14ac:dyDescent="0.35">
      <c r="A205" s="1">
        <v>15</v>
      </c>
      <c r="B205" s="14"/>
      <c r="C205" t="s">
        <v>16</v>
      </c>
      <c r="D205" s="6">
        <v>3.6750211715698198</v>
      </c>
      <c r="E205">
        <v>3.5999999999999996</v>
      </c>
      <c r="F205" s="3">
        <f t="shared" si="8"/>
        <v>7.5021171569820133E-2</v>
      </c>
      <c r="G205" s="3">
        <f t="shared" si="9"/>
        <v>5.6281761837083883E-3</v>
      </c>
    </row>
    <row r="206" spans="1:7" x14ac:dyDescent="0.35">
      <c r="A206" s="1"/>
      <c r="B206" s="14"/>
      <c r="C206" t="s">
        <v>17</v>
      </c>
      <c r="D206" s="6">
        <v>1.7800418138503999</v>
      </c>
      <c r="E206">
        <v>2.17</v>
      </c>
      <c r="F206" s="3">
        <f t="shared" si="8"/>
        <v>-0.38995818614959998</v>
      </c>
      <c r="G206" s="3">
        <f t="shared" si="9"/>
        <v>0.15206738694508606</v>
      </c>
    </row>
    <row r="207" spans="1:7" x14ac:dyDescent="0.35">
      <c r="A207" s="1"/>
      <c r="B207" s="14"/>
      <c r="C207" t="s">
        <v>19</v>
      </c>
      <c r="D207" s="6">
        <v>1.6968082189559901</v>
      </c>
      <c r="E207">
        <v>2.67</v>
      </c>
      <c r="F207" s="3">
        <f t="shared" si="8"/>
        <v>-0.97319178104400983</v>
      </c>
      <c r="G207" s="3">
        <f t="shared" si="9"/>
        <v>0.94710224269161192</v>
      </c>
    </row>
    <row r="208" spans="1:7" x14ac:dyDescent="0.35">
      <c r="A208" s="1" t="s">
        <v>44</v>
      </c>
      <c r="B208" s="14"/>
      <c r="C208" t="s">
        <v>20</v>
      </c>
      <c r="D208" s="6">
        <v>2.7122390270233199</v>
      </c>
      <c r="E208">
        <v>3.13</v>
      </c>
      <c r="F208" s="3">
        <f t="shared" si="8"/>
        <v>-0.41776097297668002</v>
      </c>
      <c r="G208" s="3">
        <f t="shared" si="9"/>
        <v>0.17452423054242239</v>
      </c>
    </row>
    <row r="209" spans="1:7" x14ac:dyDescent="0.35">
      <c r="A209" s="1"/>
      <c r="B209" s="14"/>
      <c r="C209" t="s">
        <v>21</v>
      </c>
      <c r="D209" s="6">
        <v>2.6399791240692099</v>
      </c>
      <c r="E209">
        <v>3.2299999999999995</v>
      </c>
      <c r="F209" s="3">
        <f t="shared" si="8"/>
        <v>-0.59002087593078967</v>
      </c>
      <c r="G209" s="3">
        <f t="shared" si="9"/>
        <v>0.34812463403413629</v>
      </c>
    </row>
    <row r="210" spans="1:7" x14ac:dyDescent="0.35">
      <c r="A210" s="1"/>
      <c r="B210" s="14"/>
      <c r="C210" t="s">
        <v>22</v>
      </c>
      <c r="D210" s="6">
        <v>3.2767372131347701</v>
      </c>
      <c r="E210">
        <v>3.63</v>
      </c>
      <c r="F210" s="3">
        <f t="shared" si="8"/>
        <v>-0.35326278686522983</v>
      </c>
      <c r="G210" s="3">
        <f t="shared" si="9"/>
        <v>0.12479459658378879</v>
      </c>
    </row>
    <row r="211" spans="1:7" x14ac:dyDescent="0.35">
      <c r="A211" s="1"/>
      <c r="B211" s="14"/>
      <c r="C211" t="s">
        <v>23</v>
      </c>
      <c r="D211" s="6">
        <v>6.4936480522155797</v>
      </c>
      <c r="E211">
        <v>4.0599999999999996</v>
      </c>
      <c r="F211" s="3">
        <f t="shared" si="8"/>
        <v>2.4336480522155801</v>
      </c>
      <c r="G211" s="3">
        <f t="shared" si="9"/>
        <v>5.9226428420526869</v>
      </c>
    </row>
    <row r="212" spans="1:7" x14ac:dyDescent="0.35">
      <c r="A212" s="1"/>
      <c r="B212" s="14"/>
      <c r="C212" t="s">
        <v>24</v>
      </c>
      <c r="D212" s="6">
        <v>1.73391914367676</v>
      </c>
      <c r="E212">
        <v>2.2400000000000002</v>
      </c>
      <c r="F212" s="3">
        <f t="shared" si="8"/>
        <v>-0.50608085632324018</v>
      </c>
      <c r="G212" s="3">
        <f t="shared" si="9"/>
        <v>0.25611783313686409</v>
      </c>
    </row>
    <row r="213" spans="1:7" x14ac:dyDescent="0.35">
      <c r="A213" s="1"/>
      <c r="B213" s="14"/>
      <c r="C213" t="s">
        <v>25</v>
      </c>
      <c r="D213" s="6">
        <v>5.5769238471984899</v>
      </c>
      <c r="E213">
        <v>5.2399999999999993</v>
      </c>
      <c r="F213" s="3">
        <f t="shared" si="8"/>
        <v>0.33692384719849056</v>
      </c>
      <c r="G213" s="3">
        <f t="shared" si="9"/>
        <v>0.11351767881103181</v>
      </c>
    </row>
    <row r="214" spans="1:7" x14ac:dyDescent="0.35">
      <c r="B214" s="12" t="s">
        <v>45</v>
      </c>
      <c r="C214" t="s">
        <v>27</v>
      </c>
      <c r="D214" s="6">
        <v>12.4606580734253</v>
      </c>
      <c r="E214">
        <v>11.41</v>
      </c>
      <c r="F214" s="3">
        <f t="shared" si="8"/>
        <v>1.0506580734252999</v>
      </c>
      <c r="G214" s="3">
        <f t="shared" si="9"/>
        <v>1.1038823872537629</v>
      </c>
    </row>
    <row r="215" spans="1:7" x14ac:dyDescent="0.35">
      <c r="B215" s="12"/>
      <c r="C215" t="s">
        <v>29</v>
      </c>
      <c r="D215" s="6">
        <v>10.220248222351101</v>
      </c>
      <c r="E215">
        <v>6.85</v>
      </c>
      <c r="F215" s="3">
        <f t="shared" si="8"/>
        <v>3.3702482223511012</v>
      </c>
      <c r="G215" s="3">
        <f t="shared" si="9"/>
        <v>11.358573080260758</v>
      </c>
    </row>
    <row r="216" spans="1:7" x14ac:dyDescent="0.35">
      <c r="B216" s="12"/>
      <c r="C216" t="s">
        <v>30</v>
      </c>
      <c r="D216" s="6">
        <v>11.886334419250501</v>
      </c>
      <c r="E216">
        <v>10.579999999999998</v>
      </c>
      <c r="F216" s="3">
        <f t="shared" si="8"/>
        <v>1.3063344192505024</v>
      </c>
      <c r="G216" s="3">
        <f t="shared" si="9"/>
        <v>1.7065096149185475</v>
      </c>
    </row>
    <row r="217" spans="1:7" x14ac:dyDescent="0.35">
      <c r="B217" s="12"/>
      <c r="C217" t="s">
        <v>11</v>
      </c>
      <c r="D217" s="6">
        <v>8.5261201858520508</v>
      </c>
      <c r="E217">
        <v>5.26</v>
      </c>
      <c r="F217" s="3">
        <f t="shared" si="8"/>
        <v>3.266120185852051</v>
      </c>
      <c r="G217" s="3">
        <f t="shared" si="9"/>
        <v>10.667541068430236</v>
      </c>
    </row>
    <row r="218" spans="1:7" x14ac:dyDescent="0.35">
      <c r="B218" s="12"/>
      <c r="C218" t="s">
        <v>13</v>
      </c>
      <c r="D218" s="6">
        <v>10.026070594787599</v>
      </c>
      <c r="E218">
        <v>6.37</v>
      </c>
      <c r="F218" s="3">
        <f t="shared" si="8"/>
        <v>3.6560705947875993</v>
      </c>
      <c r="G218" s="3">
        <f t="shared" si="9"/>
        <v>13.36685219407055</v>
      </c>
    </row>
    <row r="219" spans="1:7" x14ac:dyDescent="0.35">
      <c r="B219" s="12"/>
      <c r="C219" t="s">
        <v>14</v>
      </c>
      <c r="D219" s="6">
        <v>7.6916785240173304</v>
      </c>
      <c r="E219">
        <v>2.79</v>
      </c>
      <c r="F219" s="3">
        <f t="shared" si="8"/>
        <v>4.9016785240173304</v>
      </c>
      <c r="G219" s="3">
        <f t="shared" si="9"/>
        <v>24.026452352812715</v>
      </c>
    </row>
    <row r="220" spans="1:7" x14ac:dyDescent="0.35">
      <c r="B220" s="12"/>
      <c r="C220" t="s">
        <v>16</v>
      </c>
      <c r="D220" s="6">
        <v>9.7127122879028303</v>
      </c>
      <c r="E220">
        <v>7.65</v>
      </c>
      <c r="F220" s="3">
        <f t="shared" si="8"/>
        <v>2.0627122879028299</v>
      </c>
      <c r="G220" s="3">
        <f t="shared" si="9"/>
        <v>4.2547819826653273</v>
      </c>
    </row>
    <row r="221" spans="1:7" x14ac:dyDescent="0.35">
      <c r="A221">
        <v>16</v>
      </c>
      <c r="B221" s="12"/>
      <c r="C221" t="s">
        <v>17</v>
      </c>
      <c r="D221" s="6">
        <v>7.6005153656005904</v>
      </c>
      <c r="E221">
        <v>2.25</v>
      </c>
      <c r="F221" s="3">
        <f t="shared" si="8"/>
        <v>5.3505153656005904</v>
      </c>
      <c r="G221" s="3">
        <f t="shared" si="9"/>
        <v>28.628014677528018</v>
      </c>
    </row>
    <row r="222" spans="1:7" x14ac:dyDescent="0.35">
      <c r="B222" s="12"/>
      <c r="C222" t="s">
        <v>19</v>
      </c>
      <c r="D222" s="6">
        <v>9.0180139541625994</v>
      </c>
      <c r="E222">
        <v>5.6</v>
      </c>
      <c r="F222" s="3">
        <f t="shared" si="8"/>
        <v>3.4180139541625998</v>
      </c>
      <c r="G222" s="3">
        <f t="shared" si="9"/>
        <v>11.68281939085025</v>
      </c>
    </row>
    <row r="223" spans="1:7" x14ac:dyDescent="0.35">
      <c r="B223" s="12"/>
      <c r="C223" t="s">
        <v>20</v>
      </c>
      <c r="D223" s="6">
        <v>8.3198385238647496</v>
      </c>
      <c r="E223">
        <v>7.13</v>
      </c>
      <c r="F223" s="3">
        <f t="shared" si="8"/>
        <v>1.1898385238647498</v>
      </c>
      <c r="G223" s="3">
        <f t="shared" si="9"/>
        <v>1.4157157128726467</v>
      </c>
    </row>
    <row r="224" spans="1:7" x14ac:dyDescent="0.35">
      <c r="B224" s="12"/>
      <c r="C224" t="s">
        <v>21</v>
      </c>
      <c r="D224" s="6">
        <v>8.4910736083984393</v>
      </c>
      <c r="E224">
        <v>3.88</v>
      </c>
      <c r="F224" s="3">
        <f t="shared" si="8"/>
        <v>4.6110736083984394</v>
      </c>
      <c r="G224" s="3">
        <f t="shared" si="9"/>
        <v>21.261999822068603</v>
      </c>
    </row>
    <row r="225" spans="1:7" x14ac:dyDescent="0.35">
      <c r="B225" s="12"/>
      <c r="C225" t="s">
        <v>22</v>
      </c>
      <c r="D225" s="6">
        <v>7.8765211105346697</v>
      </c>
      <c r="E225">
        <v>3.61</v>
      </c>
      <c r="F225" s="3">
        <f t="shared" si="8"/>
        <v>4.2665211105346703</v>
      </c>
      <c r="G225" s="3">
        <f t="shared" si="9"/>
        <v>18.203202386637997</v>
      </c>
    </row>
    <row r="226" spans="1:7" x14ac:dyDescent="0.35">
      <c r="B226" s="12"/>
      <c r="C226" t="s">
        <v>23</v>
      </c>
      <c r="D226" s="6">
        <v>9.14300537109375</v>
      </c>
      <c r="E226">
        <v>6.56</v>
      </c>
      <c r="F226" s="3">
        <f t="shared" si="8"/>
        <v>2.5830053710937504</v>
      </c>
      <c r="G226" s="3">
        <f t="shared" si="9"/>
        <v>6.6719167470991634</v>
      </c>
    </row>
    <row r="227" spans="1:7" x14ac:dyDescent="0.35">
      <c r="B227" s="12"/>
      <c r="C227" t="s">
        <v>24</v>
      </c>
      <c r="D227" s="6">
        <v>8.0999031066894496</v>
      </c>
      <c r="E227">
        <v>3.48</v>
      </c>
      <c r="F227" s="3">
        <f t="shared" si="8"/>
        <v>4.6199031066894491</v>
      </c>
      <c r="G227" s="3">
        <f t="shared" si="9"/>
        <v>21.343504715198822</v>
      </c>
    </row>
    <row r="228" spans="1:7" x14ac:dyDescent="0.35">
      <c r="A228" s="1"/>
      <c r="B228" s="12"/>
      <c r="C228" t="s">
        <v>25</v>
      </c>
      <c r="D228" s="6">
        <v>10.078198432922401</v>
      </c>
      <c r="E228">
        <v>8.1900000000000013</v>
      </c>
      <c r="F228" s="3">
        <f t="shared" si="8"/>
        <v>1.8881984329223993</v>
      </c>
      <c r="G228" s="3">
        <f t="shared" si="9"/>
        <v>3.5652933220906045</v>
      </c>
    </row>
    <row r="229" spans="1:7" x14ac:dyDescent="0.35">
      <c r="B229" s="12" t="s">
        <v>46</v>
      </c>
      <c r="C229" t="s">
        <v>27</v>
      </c>
      <c r="D229" s="6">
        <v>12.7775478363037</v>
      </c>
      <c r="E229">
        <v>12.08</v>
      </c>
      <c r="F229" s="3">
        <f t="shared" si="8"/>
        <v>0.69754783630370021</v>
      </c>
      <c r="G229" s="3">
        <f t="shared" si="9"/>
        <v>0.48657298393197373</v>
      </c>
    </row>
    <row r="230" spans="1:7" x14ac:dyDescent="0.35">
      <c r="B230" s="12"/>
      <c r="C230" t="s">
        <v>28</v>
      </c>
      <c r="D230" s="6">
        <v>1.3738472461700399</v>
      </c>
      <c r="E230">
        <v>1.51</v>
      </c>
      <c r="F230" s="3">
        <f t="shared" si="8"/>
        <v>-0.13615275382996006</v>
      </c>
      <c r="G230" s="3">
        <f t="shared" si="9"/>
        <v>1.8537572375481703E-2</v>
      </c>
    </row>
    <row r="231" spans="1:7" x14ac:dyDescent="0.35">
      <c r="B231" s="12"/>
      <c r="C231" t="s">
        <v>29</v>
      </c>
      <c r="D231" s="6">
        <v>7.5141615867614799</v>
      </c>
      <c r="E231">
        <v>5.8999999999999995</v>
      </c>
      <c r="F231" s="3">
        <f t="shared" si="8"/>
        <v>1.6141615867614805</v>
      </c>
      <c r="G231" s="3">
        <f t="shared" si="9"/>
        <v>2.6055176281763406</v>
      </c>
    </row>
    <row r="232" spans="1:7" x14ac:dyDescent="0.35">
      <c r="B232" s="12"/>
      <c r="C232" t="s">
        <v>30</v>
      </c>
      <c r="D232" s="6">
        <v>12.1582746505737</v>
      </c>
      <c r="E232">
        <v>9.48</v>
      </c>
      <c r="F232" s="3">
        <f t="shared" si="8"/>
        <v>2.6782746505736998</v>
      </c>
      <c r="G232" s="3">
        <f t="shared" si="9"/>
        <v>7.1731551039056738</v>
      </c>
    </row>
    <row r="233" spans="1:7" x14ac:dyDescent="0.35">
      <c r="B233" s="12"/>
      <c r="C233" t="s">
        <v>11</v>
      </c>
      <c r="D233" s="6">
        <v>4.5187416076660201</v>
      </c>
      <c r="E233">
        <v>4.55</v>
      </c>
      <c r="F233" s="3">
        <f t="shared" si="8"/>
        <v>-3.1258392333979756E-2</v>
      </c>
      <c r="G233" s="3">
        <f t="shared" si="9"/>
        <v>9.7708709130500432E-4</v>
      </c>
    </row>
    <row r="234" spans="1:7" x14ac:dyDescent="0.35">
      <c r="B234" s="12"/>
      <c r="C234" t="s">
        <v>13</v>
      </c>
      <c r="D234" s="6">
        <v>4.8860750198364302</v>
      </c>
      <c r="E234">
        <v>4.41</v>
      </c>
      <c r="F234" s="3">
        <f t="shared" si="8"/>
        <v>0.47607501983643008</v>
      </c>
      <c r="G234" s="3">
        <f t="shared" si="9"/>
        <v>0.22664742451225731</v>
      </c>
    </row>
    <row r="235" spans="1:7" x14ac:dyDescent="0.35">
      <c r="B235" s="12"/>
      <c r="C235" t="s">
        <v>14</v>
      </c>
      <c r="D235" s="6">
        <v>2.1116135120391801</v>
      </c>
      <c r="E235">
        <v>3</v>
      </c>
      <c r="F235" s="3">
        <f t="shared" si="8"/>
        <v>-0.88838648796081987</v>
      </c>
      <c r="G235" s="3">
        <f t="shared" si="9"/>
        <v>0.78923055199135994</v>
      </c>
    </row>
    <row r="236" spans="1:7" x14ac:dyDescent="0.35">
      <c r="B236" s="12"/>
      <c r="C236" t="s">
        <v>16</v>
      </c>
      <c r="D236" s="6">
        <v>5.5770568847656303</v>
      </c>
      <c r="E236">
        <v>5.3199999999999994</v>
      </c>
      <c r="F236" s="3">
        <f t="shared" si="8"/>
        <v>0.25705688476563093</v>
      </c>
      <c r="G236" s="3">
        <f t="shared" si="9"/>
        <v>6.6078242005410862E-2</v>
      </c>
    </row>
    <row r="237" spans="1:7" x14ac:dyDescent="0.35">
      <c r="A237">
        <v>17</v>
      </c>
      <c r="B237" s="12"/>
      <c r="C237" t="s">
        <v>17</v>
      </c>
      <c r="D237" s="6">
        <v>1.8080533742904701</v>
      </c>
      <c r="E237">
        <v>2.2400000000000002</v>
      </c>
      <c r="F237" s="3">
        <f t="shared" si="8"/>
        <v>-0.43194662570953013</v>
      </c>
      <c r="G237" s="3">
        <f t="shared" si="9"/>
        <v>0.18657788746184892</v>
      </c>
    </row>
    <row r="238" spans="1:7" x14ac:dyDescent="0.35">
      <c r="B238" s="12"/>
      <c r="C238" t="s">
        <v>19</v>
      </c>
      <c r="D238" s="6">
        <v>2.3154628276825</v>
      </c>
      <c r="E238">
        <v>3.2399999999999993</v>
      </c>
      <c r="F238" s="3">
        <f t="shared" si="8"/>
        <v>-0.92453717231749932</v>
      </c>
      <c r="G238" s="3">
        <f t="shared" si="9"/>
        <v>0.85476898299683746</v>
      </c>
    </row>
    <row r="239" spans="1:7" x14ac:dyDescent="0.35">
      <c r="B239" s="12"/>
      <c r="C239" t="s">
        <v>20</v>
      </c>
      <c r="D239" s="6">
        <v>3.5651500225067099</v>
      </c>
      <c r="E239">
        <v>3.58</v>
      </c>
      <c r="F239" s="3">
        <f t="shared" si="8"/>
        <v>-1.4849977493290201E-2</v>
      </c>
      <c r="G239" s="3">
        <f t="shared" si="9"/>
        <v>2.205218315512255E-4</v>
      </c>
    </row>
    <row r="240" spans="1:7" x14ac:dyDescent="0.35">
      <c r="B240" s="12"/>
      <c r="C240" t="s">
        <v>22</v>
      </c>
      <c r="D240" s="6">
        <v>3.4100883007049601</v>
      </c>
      <c r="E240">
        <v>3.7199999999999998</v>
      </c>
      <c r="F240" s="3">
        <f t="shared" si="8"/>
        <v>-0.3099116992950397</v>
      </c>
      <c r="G240" s="3">
        <f t="shared" si="9"/>
        <v>9.6045261359939113E-2</v>
      </c>
    </row>
    <row r="241" spans="1:7" x14ac:dyDescent="0.35">
      <c r="B241" s="12"/>
      <c r="C241" t="s">
        <v>23</v>
      </c>
      <c r="D241" s="6">
        <v>9.48724460601807</v>
      </c>
      <c r="E241">
        <v>6.72</v>
      </c>
      <c r="F241" s="3">
        <f t="shared" si="8"/>
        <v>2.7672446060180702</v>
      </c>
      <c r="G241" s="3">
        <f t="shared" si="9"/>
        <v>7.6576427095361046</v>
      </c>
    </row>
    <row r="242" spans="1:7" x14ac:dyDescent="0.35">
      <c r="B242" s="12"/>
      <c r="C242" t="s">
        <v>24</v>
      </c>
      <c r="D242" s="6">
        <v>1.9118264913559</v>
      </c>
      <c r="E242">
        <v>2.6100000000000003</v>
      </c>
      <c r="F242" s="3">
        <f t="shared" si="8"/>
        <v>-0.69817350864410033</v>
      </c>
      <c r="G242" s="3">
        <f t="shared" si="9"/>
        <v>0.48744624817241361</v>
      </c>
    </row>
    <row r="243" spans="1:7" x14ac:dyDescent="0.35">
      <c r="A243" s="1"/>
      <c r="B243" s="12"/>
      <c r="C243" t="s">
        <v>25</v>
      </c>
      <c r="D243" s="6">
        <v>8.0270557403564506</v>
      </c>
      <c r="E243">
        <v>5.68</v>
      </c>
      <c r="F243" s="3">
        <f t="shared" si="8"/>
        <v>2.3470557403564509</v>
      </c>
      <c r="G243" s="3">
        <f t="shared" si="9"/>
        <v>5.5086706483401677</v>
      </c>
    </row>
    <row r="244" spans="1:7" x14ac:dyDescent="0.35">
      <c r="B244" s="12" t="s">
        <v>47</v>
      </c>
      <c r="C244" t="s">
        <v>27</v>
      </c>
      <c r="D244" s="6">
        <v>17.3054084777832</v>
      </c>
      <c r="E244">
        <v>16.61</v>
      </c>
      <c r="F244" s="3">
        <f t="shared" si="8"/>
        <v>0.69540847778320014</v>
      </c>
      <c r="G244" s="3">
        <f t="shared" si="9"/>
        <v>0.48359295097274757</v>
      </c>
    </row>
    <row r="245" spans="1:7" x14ac:dyDescent="0.35">
      <c r="B245" s="12"/>
      <c r="C245" t="s">
        <v>28</v>
      </c>
      <c r="D245" s="6">
        <v>10.230510711669901</v>
      </c>
      <c r="E245">
        <v>6.7</v>
      </c>
      <c r="F245" s="3">
        <f t="shared" si="8"/>
        <v>3.5305107116699004</v>
      </c>
      <c r="G245" s="3">
        <f t="shared" si="9"/>
        <v>12.464505885215907</v>
      </c>
    </row>
    <row r="246" spans="1:7" x14ac:dyDescent="0.35">
      <c r="B246" s="12"/>
      <c r="C246" t="s">
        <v>29</v>
      </c>
      <c r="D246" s="6">
        <v>15.149151802063001</v>
      </c>
      <c r="E246">
        <v>14.15</v>
      </c>
      <c r="F246" s="3">
        <f t="shared" si="8"/>
        <v>0.99915180206300036</v>
      </c>
      <c r="G246" s="3">
        <f t="shared" si="9"/>
        <v>0.99830432356574106</v>
      </c>
    </row>
    <row r="247" spans="1:7" x14ac:dyDescent="0.35">
      <c r="B247" s="12"/>
      <c r="C247" t="s">
        <v>11</v>
      </c>
      <c r="D247" s="6">
        <v>12.7478532791138</v>
      </c>
      <c r="E247">
        <v>12.58</v>
      </c>
      <c r="F247" s="3">
        <f t="shared" si="8"/>
        <v>0.16785327911379966</v>
      </c>
      <c r="G247" s="3">
        <f t="shared" si="9"/>
        <v>2.8174723309255134E-2</v>
      </c>
    </row>
    <row r="248" spans="1:7" x14ac:dyDescent="0.35">
      <c r="B248" s="12"/>
      <c r="C248" t="s">
        <v>13</v>
      </c>
      <c r="D248" s="6">
        <v>14.1496467590332</v>
      </c>
      <c r="E248">
        <v>11.79</v>
      </c>
      <c r="F248" s="3">
        <f t="shared" si="8"/>
        <v>2.3596467590332004</v>
      </c>
      <c r="G248" s="3">
        <f t="shared" si="9"/>
        <v>5.5679328274158868</v>
      </c>
    </row>
    <row r="249" spans="1:7" x14ac:dyDescent="0.35">
      <c r="B249" s="12"/>
      <c r="C249" t="s">
        <v>14</v>
      </c>
      <c r="D249" s="6">
        <v>10.3044652938843</v>
      </c>
      <c r="E249">
        <v>6.94</v>
      </c>
      <c r="F249" s="3">
        <f t="shared" si="8"/>
        <v>3.3644652938843</v>
      </c>
      <c r="G249" s="3">
        <f t="shared" si="9"/>
        <v>11.319626713751969</v>
      </c>
    </row>
    <row r="250" spans="1:7" x14ac:dyDescent="0.35">
      <c r="B250" s="12"/>
      <c r="C250" t="s">
        <v>16</v>
      </c>
      <c r="D250" s="6">
        <v>14.760377883911101</v>
      </c>
      <c r="E250">
        <v>16.5</v>
      </c>
      <c r="F250" s="3">
        <f t="shared" si="8"/>
        <v>-1.7396221160888992</v>
      </c>
      <c r="G250" s="3">
        <f t="shared" si="9"/>
        <v>3.0262851067856196</v>
      </c>
    </row>
    <row r="251" spans="1:7" x14ac:dyDescent="0.35">
      <c r="A251">
        <v>18</v>
      </c>
      <c r="B251" s="12"/>
      <c r="C251" t="s">
        <v>17</v>
      </c>
      <c r="D251" s="6">
        <v>10.003471374511699</v>
      </c>
      <c r="E251">
        <v>6.89</v>
      </c>
      <c r="F251" s="3">
        <f t="shared" si="8"/>
        <v>3.1134713745116995</v>
      </c>
      <c r="G251" s="3">
        <f t="shared" si="9"/>
        <v>9.6937039999037715</v>
      </c>
    </row>
    <row r="252" spans="1:7" x14ac:dyDescent="0.35">
      <c r="B252" s="12"/>
      <c r="C252" t="s">
        <v>19</v>
      </c>
      <c r="D252" s="6">
        <v>11.4971218109131</v>
      </c>
      <c r="E252">
        <v>9.36</v>
      </c>
      <c r="F252" s="3">
        <f t="shared" si="8"/>
        <v>2.1371218109131007</v>
      </c>
      <c r="G252" s="3">
        <f t="shared" si="9"/>
        <v>4.567289634680491</v>
      </c>
    </row>
    <row r="253" spans="1:7" x14ac:dyDescent="0.35">
      <c r="B253" s="12"/>
      <c r="C253" t="s">
        <v>20</v>
      </c>
      <c r="D253" s="6">
        <v>12.2976484298706</v>
      </c>
      <c r="E253">
        <v>12.03</v>
      </c>
      <c r="F253" s="3">
        <f t="shared" si="8"/>
        <v>0.26764842987060078</v>
      </c>
      <c r="G253" s="3">
        <f t="shared" si="9"/>
        <v>7.1635682012197902E-2</v>
      </c>
    </row>
    <row r="254" spans="1:7" x14ac:dyDescent="0.35">
      <c r="B254" s="12"/>
      <c r="C254" t="s">
        <v>21</v>
      </c>
      <c r="D254" s="6">
        <v>12.389152526855501</v>
      </c>
      <c r="E254">
        <v>10.81</v>
      </c>
      <c r="F254" s="3">
        <f t="shared" si="8"/>
        <v>1.5791525268555002</v>
      </c>
      <c r="G254" s="3">
        <f t="shared" si="9"/>
        <v>2.4937227030741114</v>
      </c>
    </row>
    <row r="255" spans="1:7" x14ac:dyDescent="0.35">
      <c r="B255" s="12"/>
      <c r="C255" t="s">
        <v>22</v>
      </c>
      <c r="D255" s="6">
        <v>11.2758598327637</v>
      </c>
      <c r="E255">
        <v>7.1</v>
      </c>
      <c r="F255" s="3">
        <f t="shared" si="8"/>
        <v>4.1758598327637007</v>
      </c>
      <c r="G255" s="3">
        <f t="shared" si="9"/>
        <v>17.437805342889281</v>
      </c>
    </row>
    <row r="256" spans="1:7" x14ac:dyDescent="0.35">
      <c r="B256" s="12"/>
      <c r="C256" t="s">
        <v>23</v>
      </c>
      <c r="D256" s="6">
        <v>15.2803955078125</v>
      </c>
      <c r="E256">
        <v>18.829999999999998</v>
      </c>
      <c r="F256" s="3">
        <f t="shared" si="8"/>
        <v>-3.5496044921874983</v>
      </c>
      <c r="G256" s="3">
        <f t="shared" si="9"/>
        <v>12.599692050957668</v>
      </c>
    </row>
    <row r="257" spans="1:7" x14ac:dyDescent="0.35">
      <c r="B257" s="12"/>
      <c r="C257" t="s">
        <v>24</v>
      </c>
      <c r="D257" s="6">
        <v>10.8453168869019</v>
      </c>
      <c r="E257">
        <v>10.7</v>
      </c>
      <c r="F257" s="3">
        <f t="shared" si="8"/>
        <v>0.14531688690190059</v>
      </c>
      <c r="G257" s="3">
        <f t="shared" si="9"/>
        <v>2.1116997618859767E-2</v>
      </c>
    </row>
    <row r="258" spans="1:7" x14ac:dyDescent="0.35">
      <c r="A258" s="1"/>
      <c r="B258" s="12"/>
      <c r="C258" t="s">
        <v>25</v>
      </c>
      <c r="D258" s="6">
        <v>12.170327186584499</v>
      </c>
      <c r="E258">
        <v>12.03</v>
      </c>
      <c r="F258" s="3">
        <f t="shared" ref="F258:F320" si="10">D258-E258</f>
        <v>0.14032718658449994</v>
      </c>
      <c r="G258" s="3">
        <f t="shared" ref="G258:G320" si="11">F258^2</f>
        <v>1.969171929472106E-2</v>
      </c>
    </row>
    <row r="259" spans="1:7" x14ac:dyDescent="0.35">
      <c r="B259" s="12" t="s">
        <v>48</v>
      </c>
      <c r="C259" t="s">
        <v>27</v>
      </c>
      <c r="D259" s="6">
        <v>27.449680328369102</v>
      </c>
      <c r="E259">
        <v>23.93</v>
      </c>
      <c r="F259" s="3">
        <f t="shared" si="10"/>
        <v>3.5196803283691018</v>
      </c>
      <c r="G259" s="3">
        <f t="shared" si="11"/>
        <v>12.388149613908428</v>
      </c>
    </row>
    <row r="260" spans="1:7" x14ac:dyDescent="0.35">
      <c r="B260" s="12"/>
      <c r="C260" t="s">
        <v>28</v>
      </c>
      <c r="D260" s="6">
        <v>19.193195343017599</v>
      </c>
      <c r="E260">
        <v>17.399999999999999</v>
      </c>
      <c r="F260" s="3">
        <f t="shared" si="10"/>
        <v>1.7931953430176009</v>
      </c>
      <c r="G260" s="3">
        <f t="shared" si="11"/>
        <v>3.2155495382200114</v>
      </c>
    </row>
    <row r="261" spans="1:7" x14ac:dyDescent="0.35">
      <c r="B261" s="12"/>
      <c r="C261" t="s">
        <v>29</v>
      </c>
      <c r="D261" s="6">
        <v>25.0657043457031</v>
      </c>
      <c r="E261">
        <v>22.44</v>
      </c>
      <c r="F261" s="3">
        <f t="shared" si="10"/>
        <v>2.6257043457030989</v>
      </c>
      <c r="G261" s="3">
        <f t="shared" si="11"/>
        <v>6.8943233110441389</v>
      </c>
    </row>
    <row r="262" spans="1:7" x14ac:dyDescent="0.35">
      <c r="B262" s="12"/>
      <c r="C262" t="s">
        <v>30</v>
      </c>
      <c r="D262" s="6">
        <v>28.2618007659912</v>
      </c>
      <c r="E262">
        <v>23.91</v>
      </c>
      <c r="F262" s="3">
        <f t="shared" si="10"/>
        <v>4.3518007659912001</v>
      </c>
      <c r="G262" s="3">
        <f t="shared" si="11"/>
        <v>18.938169906881598</v>
      </c>
    </row>
    <row r="263" spans="1:7" x14ac:dyDescent="0.35">
      <c r="B263" s="12"/>
      <c r="C263" t="s">
        <v>11</v>
      </c>
      <c r="D263" s="6">
        <v>22.960983276367202</v>
      </c>
      <c r="E263">
        <v>23.11</v>
      </c>
      <c r="F263" s="3">
        <f t="shared" si="10"/>
        <v>-0.14901672363279772</v>
      </c>
      <c r="G263" s="3">
        <f t="shared" si="11"/>
        <v>2.2205983922253616E-2</v>
      </c>
    </row>
    <row r="264" spans="1:7" x14ac:dyDescent="0.35">
      <c r="B264" s="12"/>
      <c r="C264" t="s">
        <v>13</v>
      </c>
      <c r="D264" s="6">
        <v>22.913082122802699</v>
      </c>
      <c r="E264">
        <v>18.43</v>
      </c>
      <c r="F264" s="3">
        <f t="shared" si="10"/>
        <v>4.4830821228026991</v>
      </c>
      <c r="G264" s="3">
        <f t="shared" si="11"/>
        <v>20.098025319793155</v>
      </c>
    </row>
    <row r="265" spans="1:7" x14ac:dyDescent="0.35">
      <c r="B265" s="12"/>
      <c r="C265" t="s">
        <v>14</v>
      </c>
      <c r="D265" s="6">
        <v>20.255271911621101</v>
      </c>
      <c r="E265">
        <v>15.95</v>
      </c>
      <c r="F265" s="3">
        <f t="shared" si="10"/>
        <v>4.3052719116211016</v>
      </c>
      <c r="G265" s="3">
        <f t="shared" si="11"/>
        <v>18.535366232993614</v>
      </c>
    </row>
    <row r="266" spans="1:7" x14ac:dyDescent="0.35">
      <c r="A266">
        <v>19</v>
      </c>
      <c r="B266" s="12"/>
      <c r="C266" t="s">
        <v>17</v>
      </c>
      <c r="D266" s="6">
        <v>19.330123901367202</v>
      </c>
      <c r="E266">
        <v>16.18</v>
      </c>
      <c r="F266" s="3">
        <f t="shared" si="10"/>
        <v>3.150123901367202</v>
      </c>
      <c r="G266" s="3">
        <f t="shared" si="11"/>
        <v>9.9232805939649218</v>
      </c>
    </row>
    <row r="267" spans="1:7" x14ac:dyDescent="0.35">
      <c r="B267" s="12"/>
      <c r="C267" t="s">
        <v>19</v>
      </c>
      <c r="D267" s="6">
        <v>20.101802825927699</v>
      </c>
      <c r="E267">
        <v>16.97</v>
      </c>
      <c r="F267" s="3">
        <f t="shared" si="10"/>
        <v>3.1318028259277</v>
      </c>
      <c r="G267" s="3">
        <f t="shared" si="11"/>
        <v>9.8081889404887281</v>
      </c>
    </row>
    <row r="268" spans="1:7" x14ac:dyDescent="0.35">
      <c r="B268" s="12"/>
      <c r="C268" t="s">
        <v>20</v>
      </c>
      <c r="D268" s="6">
        <v>22.031641006469702</v>
      </c>
      <c r="E268">
        <v>18.489999999999998</v>
      </c>
      <c r="F268" s="3">
        <f t="shared" si="10"/>
        <v>3.5416410064697033</v>
      </c>
      <c r="G268" s="3">
        <f t="shared" si="11"/>
        <v>12.543221018707733</v>
      </c>
    </row>
    <row r="269" spans="1:7" x14ac:dyDescent="0.35">
      <c r="B269" s="12"/>
      <c r="C269" t="s">
        <v>21</v>
      </c>
      <c r="D269" s="6">
        <v>22.206932067871101</v>
      </c>
      <c r="E269">
        <v>18.760000000000002</v>
      </c>
      <c r="F269" s="3">
        <f t="shared" si="10"/>
        <v>3.4469320678710993</v>
      </c>
      <c r="G269" s="3">
        <f t="shared" si="11"/>
        <v>11.881340680518132</v>
      </c>
    </row>
    <row r="270" spans="1:7" x14ac:dyDescent="0.35">
      <c r="B270" s="12"/>
      <c r="C270" t="s">
        <v>22</v>
      </c>
      <c r="D270" s="6">
        <v>20.707105636596701</v>
      </c>
      <c r="E270">
        <v>16.899999999999999</v>
      </c>
      <c r="F270" s="3">
        <f t="shared" si="10"/>
        <v>3.8071056365967024</v>
      </c>
      <c r="G270" s="3">
        <f t="shared" si="11"/>
        <v>14.494053328206382</v>
      </c>
    </row>
    <row r="271" spans="1:7" x14ac:dyDescent="0.35">
      <c r="B271" s="12"/>
      <c r="C271" t="s">
        <v>23</v>
      </c>
      <c r="D271" s="6">
        <v>27.795467376708999</v>
      </c>
      <c r="E271">
        <v>27.5</v>
      </c>
      <c r="F271" s="3">
        <f t="shared" si="10"/>
        <v>0.29546737670899859</v>
      </c>
      <c r="G271" s="3">
        <f t="shared" si="11"/>
        <v>8.7300970699297278E-2</v>
      </c>
    </row>
    <row r="272" spans="1:7" x14ac:dyDescent="0.35">
      <c r="B272" s="12"/>
      <c r="C272" t="s">
        <v>24</v>
      </c>
      <c r="D272" s="6">
        <v>20.6470947265625</v>
      </c>
      <c r="E272">
        <v>19.760000000000002</v>
      </c>
      <c r="F272" s="3">
        <f t="shared" si="10"/>
        <v>0.88709472656249844</v>
      </c>
      <c r="G272" s="3">
        <f t="shared" si="11"/>
        <v>0.78693705389499391</v>
      </c>
    </row>
    <row r="273" spans="1:7" x14ac:dyDescent="0.35">
      <c r="A273" s="1"/>
      <c r="B273" s="12"/>
      <c r="C273" t="s">
        <v>25</v>
      </c>
      <c r="D273" s="6">
        <v>21.897832870483398</v>
      </c>
      <c r="E273">
        <v>18.41</v>
      </c>
      <c r="F273" s="3">
        <f t="shared" si="10"/>
        <v>3.4878328704833983</v>
      </c>
      <c r="G273" s="3">
        <f t="shared" si="11"/>
        <v>12.164978132424462</v>
      </c>
    </row>
    <row r="274" spans="1:7" x14ac:dyDescent="0.35">
      <c r="B274" s="12" t="s">
        <v>49</v>
      </c>
      <c r="C274" t="s">
        <v>16</v>
      </c>
      <c r="D274" s="6">
        <v>8.9884366989135707</v>
      </c>
      <c r="E274">
        <v>11.28</v>
      </c>
      <c r="F274" s="3">
        <f t="shared" si="10"/>
        <v>-2.2915633010864287</v>
      </c>
      <c r="G274" s="3">
        <f t="shared" si="11"/>
        <v>5.2512623628861306</v>
      </c>
    </row>
    <row r="275" spans="1:7" x14ac:dyDescent="0.35">
      <c r="A275">
        <v>20</v>
      </c>
      <c r="B275" s="12"/>
      <c r="C275" t="s">
        <v>17</v>
      </c>
      <c r="D275" s="6">
        <v>1.81040298938751</v>
      </c>
      <c r="E275">
        <v>2.36</v>
      </c>
      <c r="F275" s="3">
        <f t="shared" si="10"/>
        <v>-0.54959701061248989</v>
      </c>
      <c r="G275" s="3">
        <f t="shared" si="11"/>
        <v>0.3020568740741853</v>
      </c>
    </row>
    <row r="276" spans="1:7" x14ac:dyDescent="0.35">
      <c r="B276" s="12"/>
      <c r="C276" t="s">
        <v>19</v>
      </c>
      <c r="D276" s="6">
        <v>4.1638946533203098</v>
      </c>
      <c r="E276">
        <v>5.27</v>
      </c>
      <c r="F276" s="3">
        <f t="shared" si="10"/>
        <v>-1.1061053466796897</v>
      </c>
      <c r="G276" s="3">
        <f t="shared" si="11"/>
        <v>1.2234690379533966</v>
      </c>
    </row>
    <row r="277" spans="1:7" x14ac:dyDescent="0.35">
      <c r="B277" s="12"/>
      <c r="C277" t="s">
        <v>20</v>
      </c>
      <c r="D277" s="6">
        <v>5.35428667068481</v>
      </c>
      <c r="E277">
        <v>6.35</v>
      </c>
      <c r="F277" s="3">
        <f t="shared" si="10"/>
        <v>-0.99571332931518963</v>
      </c>
      <c r="G277" s="3">
        <f t="shared" si="11"/>
        <v>0.99144503417593932</v>
      </c>
    </row>
    <row r="278" spans="1:7" x14ac:dyDescent="0.35">
      <c r="B278" s="12"/>
      <c r="C278" t="s">
        <v>21</v>
      </c>
      <c r="D278" s="6">
        <v>5.6536121368408203</v>
      </c>
      <c r="E278">
        <v>5.67</v>
      </c>
      <c r="F278" s="3">
        <f t="shared" si="10"/>
        <v>-1.6387863159179616E-2</v>
      </c>
      <c r="G278" s="3">
        <f t="shared" si="11"/>
        <v>2.6856205892399651E-4</v>
      </c>
    </row>
    <row r="279" spans="1:7" x14ac:dyDescent="0.35">
      <c r="B279" s="12"/>
      <c r="C279" t="s">
        <v>22</v>
      </c>
      <c r="D279" s="6">
        <v>4.19998979568481</v>
      </c>
      <c r="E279">
        <v>4.1100000000000003</v>
      </c>
      <c r="F279" s="3">
        <f t="shared" si="10"/>
        <v>8.9989795684809692E-2</v>
      </c>
      <c r="G279" s="3">
        <f t="shared" si="11"/>
        <v>8.0981633273937929E-3</v>
      </c>
    </row>
    <row r="280" spans="1:7" x14ac:dyDescent="0.35">
      <c r="B280" s="12"/>
      <c r="C280" t="s">
        <v>23</v>
      </c>
      <c r="D280" s="6">
        <v>9.2791013717651403</v>
      </c>
      <c r="E280">
        <v>11.27</v>
      </c>
      <c r="F280" s="3">
        <f t="shared" si="10"/>
        <v>-1.9908986282348593</v>
      </c>
      <c r="G280" s="3">
        <f t="shared" si="11"/>
        <v>3.9636773479074443</v>
      </c>
    </row>
    <row r="281" spans="1:7" x14ac:dyDescent="0.35">
      <c r="B281" s="12"/>
      <c r="C281" t="s">
        <v>24</v>
      </c>
      <c r="D281" s="6">
        <v>2.52888154983521</v>
      </c>
      <c r="E281">
        <v>4.18</v>
      </c>
      <c r="F281" s="3">
        <f t="shared" si="10"/>
        <v>-1.6511184501647898</v>
      </c>
      <c r="G281" s="3">
        <f t="shared" si="11"/>
        <v>2.7261921364745771</v>
      </c>
    </row>
    <row r="282" spans="1:7" x14ac:dyDescent="0.35">
      <c r="A282" s="1"/>
      <c r="B282" s="12"/>
      <c r="C282" t="s">
        <v>25</v>
      </c>
      <c r="D282" s="6">
        <v>6.9796085357665998</v>
      </c>
      <c r="E282">
        <v>8.1300000000000008</v>
      </c>
      <c r="F282" s="3">
        <f t="shared" si="10"/>
        <v>-1.150391464233401</v>
      </c>
      <c r="G282" s="3">
        <f t="shared" si="11"/>
        <v>1.3234005209810684</v>
      </c>
    </row>
    <row r="283" spans="1:7" x14ac:dyDescent="0.35">
      <c r="B283" s="12" t="s">
        <v>50</v>
      </c>
      <c r="C283" t="s">
        <v>27</v>
      </c>
      <c r="D283" s="6">
        <v>21.085620880126999</v>
      </c>
      <c r="E283">
        <v>20.6</v>
      </c>
      <c r="F283" s="3">
        <f t="shared" si="10"/>
        <v>0.48562088012699789</v>
      </c>
      <c r="G283" s="3">
        <f t="shared" si="11"/>
        <v>0.23582763921532005</v>
      </c>
    </row>
    <row r="284" spans="1:7" x14ac:dyDescent="0.35">
      <c r="B284" s="12"/>
      <c r="C284" t="s">
        <v>29</v>
      </c>
      <c r="D284" s="6">
        <v>18.9239387512207</v>
      </c>
      <c r="E284">
        <v>16.03</v>
      </c>
      <c r="F284" s="3">
        <f t="shared" si="10"/>
        <v>2.8939387512206984</v>
      </c>
      <c r="G284" s="3">
        <f t="shared" si="11"/>
        <v>8.3748814958168154</v>
      </c>
    </row>
    <row r="285" spans="1:7" x14ac:dyDescent="0.35">
      <c r="B285" s="12"/>
      <c r="C285" t="s">
        <v>30</v>
      </c>
      <c r="D285" s="6">
        <v>23.5012321472168</v>
      </c>
      <c r="E285">
        <v>20.23</v>
      </c>
      <c r="F285" s="3">
        <f t="shared" si="10"/>
        <v>3.2712321472168</v>
      </c>
      <c r="G285" s="3">
        <f t="shared" si="11"/>
        <v>10.700959760984636</v>
      </c>
    </row>
    <row r="286" spans="1:7" x14ac:dyDescent="0.35">
      <c r="B286" s="12"/>
      <c r="C286" t="s">
        <v>11</v>
      </c>
      <c r="D286" s="6">
        <v>14.9496564865112</v>
      </c>
      <c r="E286">
        <v>17.79</v>
      </c>
      <c r="F286" s="3">
        <f t="shared" si="10"/>
        <v>-2.8403435134887989</v>
      </c>
      <c r="G286" s="3">
        <f t="shared" si="11"/>
        <v>8.0675512746178946</v>
      </c>
    </row>
    <row r="287" spans="1:7" x14ac:dyDescent="0.35">
      <c r="B287" s="12"/>
      <c r="C287" t="s">
        <v>13</v>
      </c>
      <c r="D287" s="6">
        <v>15.881507873535201</v>
      </c>
      <c r="E287">
        <v>16.350000000000001</v>
      </c>
      <c r="F287" s="3">
        <f t="shared" si="10"/>
        <v>-0.46849212646480076</v>
      </c>
      <c r="G287" s="3">
        <f t="shared" si="11"/>
        <v>0.21948487255951088</v>
      </c>
    </row>
    <row r="288" spans="1:7" x14ac:dyDescent="0.35">
      <c r="B288" s="12"/>
      <c r="C288" t="s">
        <v>14</v>
      </c>
      <c r="D288" s="6">
        <v>11.0379428863525</v>
      </c>
      <c r="E288">
        <v>10.62</v>
      </c>
      <c r="F288" s="3">
        <f t="shared" si="10"/>
        <v>0.41794288635250076</v>
      </c>
      <c r="G288" s="3">
        <f t="shared" si="11"/>
        <v>0.17467625625265937</v>
      </c>
    </row>
    <row r="289" spans="1:7" x14ac:dyDescent="0.35">
      <c r="B289" s="12"/>
      <c r="C289" t="s">
        <v>16</v>
      </c>
      <c r="D289" s="6">
        <v>17.894950866699201</v>
      </c>
      <c r="E289">
        <v>19.41</v>
      </c>
      <c r="F289" s="3">
        <f t="shared" si="10"/>
        <v>-1.5150491333007992</v>
      </c>
      <c r="G289" s="3">
        <f t="shared" si="11"/>
        <v>2.2953738763155025</v>
      </c>
    </row>
    <row r="290" spans="1:7" x14ac:dyDescent="0.35">
      <c r="A290">
        <v>21</v>
      </c>
      <c r="B290" s="12"/>
      <c r="C290" t="s">
        <v>17</v>
      </c>
      <c r="D290" s="6">
        <v>9.9020843505859393</v>
      </c>
      <c r="E290">
        <v>12.45</v>
      </c>
      <c r="F290" s="3">
        <f t="shared" si="10"/>
        <v>-2.54791564941406</v>
      </c>
      <c r="G290" s="3">
        <f t="shared" si="11"/>
        <v>6.4918741565290707</v>
      </c>
    </row>
    <row r="291" spans="1:7" x14ac:dyDescent="0.35">
      <c r="B291" s="12"/>
      <c r="C291" t="s">
        <v>19</v>
      </c>
      <c r="D291" s="6">
        <v>12.1510019302368</v>
      </c>
      <c r="E291">
        <v>12.48</v>
      </c>
      <c r="F291" s="3">
        <f t="shared" si="10"/>
        <v>-0.32899806976320001</v>
      </c>
      <c r="G291" s="3">
        <f t="shared" si="11"/>
        <v>0.10823972990791142</v>
      </c>
    </row>
    <row r="292" spans="1:7" x14ac:dyDescent="0.35">
      <c r="B292" s="12"/>
      <c r="C292" t="s">
        <v>20</v>
      </c>
      <c r="D292" s="6">
        <v>14.554007530212401</v>
      </c>
      <c r="E292">
        <v>15.95</v>
      </c>
      <c r="F292" s="3">
        <f t="shared" si="10"/>
        <v>-1.3959924697875987</v>
      </c>
      <c r="G292" s="3">
        <f t="shared" si="11"/>
        <v>1.9487949757036798</v>
      </c>
    </row>
    <row r="293" spans="1:7" x14ac:dyDescent="0.35">
      <c r="B293" s="12"/>
      <c r="C293" t="s">
        <v>21</v>
      </c>
      <c r="D293" s="6">
        <v>14.651165962219199</v>
      </c>
      <c r="E293">
        <v>15.66</v>
      </c>
      <c r="F293" s="3">
        <f t="shared" si="10"/>
        <v>-1.0088340377808009</v>
      </c>
      <c r="G293" s="3">
        <f t="shared" si="11"/>
        <v>1.0177461157851144</v>
      </c>
    </row>
    <row r="294" spans="1:7" x14ac:dyDescent="0.35">
      <c r="B294" s="12"/>
      <c r="C294" t="s">
        <v>22</v>
      </c>
      <c r="D294" s="6">
        <v>12.203774452209499</v>
      </c>
      <c r="E294">
        <v>10.43</v>
      </c>
      <c r="F294" s="3">
        <f t="shared" si="10"/>
        <v>1.7737744522094996</v>
      </c>
      <c r="G294" s="3">
        <f t="shared" si="11"/>
        <v>3.1462758073111101</v>
      </c>
    </row>
    <row r="295" spans="1:7" x14ac:dyDescent="0.35">
      <c r="B295" s="12"/>
      <c r="C295" t="s">
        <v>23</v>
      </c>
      <c r="D295" s="6">
        <v>20.7529411315918</v>
      </c>
      <c r="E295">
        <v>24.6</v>
      </c>
      <c r="F295" s="3">
        <f t="shared" si="10"/>
        <v>-3.847058868408201</v>
      </c>
      <c r="G295" s="3">
        <f t="shared" si="11"/>
        <v>14.799861936998187</v>
      </c>
    </row>
    <row r="296" spans="1:7" x14ac:dyDescent="0.35">
      <c r="B296" s="12"/>
      <c r="C296" t="s">
        <v>24</v>
      </c>
      <c r="D296" s="6">
        <v>11.6429347991943</v>
      </c>
      <c r="E296">
        <v>14.76</v>
      </c>
      <c r="F296" s="3">
        <f t="shared" si="10"/>
        <v>-3.1170652008056994</v>
      </c>
      <c r="G296" s="3">
        <f t="shared" si="11"/>
        <v>9.7160954660738756</v>
      </c>
    </row>
    <row r="297" spans="1:7" x14ac:dyDescent="0.35">
      <c r="A297" s="1"/>
      <c r="B297" s="12"/>
      <c r="C297" t="s">
        <v>25</v>
      </c>
      <c r="D297" s="6">
        <v>14.065894126892101</v>
      </c>
      <c r="E297">
        <v>13.24</v>
      </c>
      <c r="F297" s="3">
        <f t="shared" si="10"/>
        <v>0.82589412689210029</v>
      </c>
      <c r="G297" s="3">
        <f t="shared" si="11"/>
        <v>0.68210110883486463</v>
      </c>
    </row>
    <row r="298" spans="1:7" x14ac:dyDescent="0.35">
      <c r="B298" s="12" t="s">
        <v>51</v>
      </c>
      <c r="C298" t="s">
        <v>27</v>
      </c>
      <c r="D298" s="6">
        <v>36.522716522216797</v>
      </c>
      <c r="E298">
        <v>37.819999999999993</v>
      </c>
      <c r="F298" s="3">
        <f t="shared" si="10"/>
        <v>-1.2972834777831963</v>
      </c>
      <c r="G298" s="3">
        <f t="shared" si="11"/>
        <v>1.6829444217292648</v>
      </c>
    </row>
    <row r="299" spans="1:7" x14ac:dyDescent="0.35">
      <c r="B299" s="12"/>
      <c r="C299" t="s">
        <v>29</v>
      </c>
      <c r="D299" s="6">
        <v>35.495693206787102</v>
      </c>
      <c r="E299">
        <v>35.56</v>
      </c>
      <c r="F299" s="3">
        <f t="shared" si="10"/>
        <v>-6.4306793212900004E-2</v>
      </c>
      <c r="G299" s="3">
        <f t="shared" si="11"/>
        <v>4.1353636533266822E-3</v>
      </c>
    </row>
    <row r="300" spans="1:7" x14ac:dyDescent="0.35">
      <c r="B300" s="12"/>
      <c r="C300" t="s">
        <v>30</v>
      </c>
      <c r="D300" s="6">
        <v>35.915756225585902</v>
      </c>
      <c r="E300">
        <v>33.200000000000003</v>
      </c>
      <c r="F300" s="3">
        <f t="shared" si="10"/>
        <v>2.7157562255858991</v>
      </c>
      <c r="G300" s="3">
        <f t="shared" si="11"/>
        <v>7.3753318768085689</v>
      </c>
    </row>
    <row r="301" spans="1:7" x14ac:dyDescent="0.35">
      <c r="B301" s="12"/>
      <c r="C301" t="s">
        <v>11</v>
      </c>
      <c r="D301" s="6">
        <v>34.016136169433601</v>
      </c>
      <c r="E301">
        <v>36.89</v>
      </c>
      <c r="F301" s="3">
        <f t="shared" si="10"/>
        <v>-2.8738638305663997</v>
      </c>
      <c r="G301" s="3">
        <f t="shared" si="11"/>
        <v>8.2590933166377809</v>
      </c>
    </row>
    <row r="302" spans="1:7" x14ac:dyDescent="0.35">
      <c r="B302" s="12"/>
      <c r="C302" t="s">
        <v>13</v>
      </c>
      <c r="D302" s="6">
        <v>34.650730133056598</v>
      </c>
      <c r="E302">
        <v>32.379999999999995</v>
      </c>
      <c r="F302" s="3">
        <f t="shared" si="10"/>
        <v>2.2707301330566025</v>
      </c>
      <c r="G302" s="3">
        <f t="shared" si="11"/>
        <v>5.1562153371712558</v>
      </c>
    </row>
    <row r="303" spans="1:7" x14ac:dyDescent="0.35">
      <c r="B303" s="12"/>
      <c r="C303" t="s">
        <v>14</v>
      </c>
      <c r="D303" s="6">
        <v>32.603191375732401</v>
      </c>
      <c r="E303">
        <v>31.220000000000002</v>
      </c>
      <c r="F303" s="3">
        <f t="shared" si="10"/>
        <v>1.3831913757323981</v>
      </c>
      <c r="G303" s="3">
        <f t="shared" si="11"/>
        <v>1.9132183819004842</v>
      </c>
    </row>
    <row r="304" spans="1:7" x14ac:dyDescent="0.35">
      <c r="A304">
        <v>22</v>
      </c>
      <c r="B304" s="12"/>
      <c r="C304" t="s">
        <v>16</v>
      </c>
      <c r="D304" s="6">
        <v>34.691097259521499</v>
      </c>
      <c r="E304">
        <v>35.840000000000003</v>
      </c>
      <c r="F304" s="3">
        <f t="shared" si="10"/>
        <v>-1.1489027404785048</v>
      </c>
      <c r="G304" s="3">
        <f t="shared" si="11"/>
        <v>1.3199775070790185</v>
      </c>
    </row>
    <row r="305" spans="1:7" x14ac:dyDescent="0.35">
      <c r="B305" s="12"/>
      <c r="C305" t="s">
        <v>17</v>
      </c>
      <c r="D305" s="6">
        <v>32.237846374511697</v>
      </c>
      <c r="E305">
        <v>31.41</v>
      </c>
      <c r="F305" s="3">
        <f t="shared" si="10"/>
        <v>0.82784637451169729</v>
      </c>
      <c r="G305" s="3">
        <f t="shared" si="11"/>
        <v>0.68532961979216134</v>
      </c>
    </row>
    <row r="306" spans="1:7" x14ac:dyDescent="0.35">
      <c r="B306" s="12"/>
      <c r="C306" t="s">
        <v>19</v>
      </c>
      <c r="D306" s="6">
        <v>33.029167175292997</v>
      </c>
      <c r="E306">
        <v>31.16</v>
      </c>
      <c r="F306" s="3">
        <f t="shared" si="10"/>
        <v>1.869167175292997</v>
      </c>
      <c r="G306" s="3">
        <f t="shared" si="11"/>
        <v>3.4937859291928013</v>
      </c>
    </row>
    <row r="307" spans="1:7" x14ac:dyDescent="0.35">
      <c r="B307" s="12"/>
      <c r="C307" t="s">
        <v>20</v>
      </c>
      <c r="D307" s="6">
        <v>33.899063110351598</v>
      </c>
      <c r="E307">
        <v>32.340000000000003</v>
      </c>
      <c r="F307" s="3">
        <f t="shared" si="10"/>
        <v>1.5590631103515946</v>
      </c>
      <c r="G307" s="3">
        <f t="shared" si="11"/>
        <v>2.4306777820591883</v>
      </c>
    </row>
    <row r="308" spans="1:7" x14ac:dyDescent="0.35">
      <c r="B308" s="12"/>
      <c r="C308" t="s">
        <v>21</v>
      </c>
      <c r="D308" s="6">
        <v>34.199054718017599</v>
      </c>
      <c r="E308">
        <v>34.269999999999996</v>
      </c>
      <c r="F308" s="3">
        <f t="shared" si="10"/>
        <v>-7.094528198239658E-2</v>
      </c>
      <c r="G308" s="3">
        <f t="shared" si="11"/>
        <v>5.0332330355617651E-3</v>
      </c>
    </row>
    <row r="309" spans="1:7" x14ac:dyDescent="0.35">
      <c r="B309" s="12"/>
      <c r="C309" t="s">
        <v>22</v>
      </c>
      <c r="D309" s="6">
        <v>32.997356414794901</v>
      </c>
      <c r="E309">
        <v>30.84</v>
      </c>
      <c r="F309" s="3">
        <f t="shared" si="10"/>
        <v>2.1573564147949007</v>
      </c>
      <c r="G309" s="3">
        <f t="shared" si="11"/>
        <v>4.6541867004567079</v>
      </c>
    </row>
    <row r="310" spans="1:7" x14ac:dyDescent="0.35">
      <c r="B310" s="12"/>
      <c r="C310" t="s">
        <v>23</v>
      </c>
      <c r="D310" s="6">
        <v>36.550506591796903</v>
      </c>
      <c r="E310">
        <v>39.92</v>
      </c>
      <c r="F310" s="3">
        <f t="shared" si="10"/>
        <v>-3.3694934082030983</v>
      </c>
      <c r="G310" s="3">
        <f t="shared" si="11"/>
        <v>11.353485827924132</v>
      </c>
    </row>
    <row r="311" spans="1:7" x14ac:dyDescent="0.35">
      <c r="B311" s="12"/>
      <c r="C311" t="s">
        <v>24</v>
      </c>
      <c r="D311" s="6">
        <v>32.638065338134801</v>
      </c>
      <c r="E311">
        <v>32.950000000000003</v>
      </c>
      <c r="F311" s="3">
        <f t="shared" si="10"/>
        <v>-0.31193466186520169</v>
      </c>
      <c r="G311" s="3">
        <f t="shared" si="11"/>
        <v>9.7303233272957715E-2</v>
      </c>
    </row>
    <row r="312" spans="1:7" x14ac:dyDescent="0.35">
      <c r="A312" s="1"/>
      <c r="B312" s="12"/>
      <c r="C312" t="s">
        <v>25</v>
      </c>
      <c r="D312" s="6">
        <v>33.426174163818402</v>
      </c>
      <c r="E312">
        <v>34.180000000000007</v>
      </c>
      <c r="F312" s="3">
        <f t="shared" si="10"/>
        <v>-0.75382583618160481</v>
      </c>
      <c r="G312" s="3">
        <f t="shared" si="11"/>
        <v>0.56825339129489572</v>
      </c>
    </row>
    <row r="313" spans="1:7" x14ac:dyDescent="0.35">
      <c r="B313" s="7" t="s">
        <v>52</v>
      </c>
      <c r="C313" t="s">
        <v>27</v>
      </c>
      <c r="D313" s="6">
        <v>12.519926071166999</v>
      </c>
      <c r="E313">
        <v>11.13</v>
      </c>
      <c r="F313" s="3">
        <f t="shared" si="10"/>
        <v>1.3899260711669985</v>
      </c>
      <c r="G313" s="3">
        <f t="shared" si="11"/>
        <v>1.9318944833097282</v>
      </c>
    </row>
    <row r="314" spans="1:7" x14ac:dyDescent="0.35">
      <c r="C314" t="s">
        <v>28</v>
      </c>
      <c r="D314" s="6">
        <v>10.0575723648071</v>
      </c>
      <c r="E314">
        <v>6.58</v>
      </c>
      <c r="F314" s="3">
        <f t="shared" si="10"/>
        <v>3.4775723648071004</v>
      </c>
      <c r="G314" s="3">
        <f t="shared" si="11"/>
        <v>12.093509552470049</v>
      </c>
    </row>
    <row r="315" spans="1:7" x14ac:dyDescent="0.35">
      <c r="C315" t="s">
        <v>29</v>
      </c>
      <c r="D315" s="6">
        <v>12.308399200439499</v>
      </c>
      <c r="E315">
        <v>11.04</v>
      </c>
      <c r="F315" s="3">
        <f t="shared" si="10"/>
        <v>1.2683992004395002</v>
      </c>
      <c r="G315" s="3">
        <f t="shared" si="11"/>
        <v>1.6088365316755633</v>
      </c>
    </row>
    <row r="316" spans="1:7" x14ac:dyDescent="0.35">
      <c r="C316" t="s">
        <v>30</v>
      </c>
      <c r="D316" s="6">
        <v>13.4106397628784</v>
      </c>
      <c r="E316">
        <v>12.49</v>
      </c>
      <c r="F316" s="3">
        <f t="shared" si="10"/>
        <v>0.92063976287839999</v>
      </c>
      <c r="G316" s="3">
        <f t="shared" si="11"/>
        <v>0.84757757299279657</v>
      </c>
    </row>
    <row r="317" spans="1:7" x14ac:dyDescent="0.35">
      <c r="A317">
        <v>23</v>
      </c>
      <c r="C317" t="s">
        <v>11</v>
      </c>
      <c r="D317" s="6">
        <v>11.529076576232899</v>
      </c>
      <c r="E317">
        <v>8.6199999999999992</v>
      </c>
      <c r="F317" s="3">
        <f t="shared" si="10"/>
        <v>2.9090765762329003</v>
      </c>
      <c r="G317" s="3">
        <f t="shared" si="11"/>
        <v>8.462726526386934</v>
      </c>
    </row>
    <row r="318" spans="1:7" x14ac:dyDescent="0.35">
      <c r="C318" t="s">
        <v>13</v>
      </c>
      <c r="D318" s="6">
        <v>11.7999324798584</v>
      </c>
      <c r="E318">
        <v>9.32</v>
      </c>
      <c r="F318" s="3">
        <f t="shared" si="10"/>
        <v>2.4799324798583999</v>
      </c>
      <c r="G318" s="3">
        <f t="shared" si="11"/>
        <v>6.1500651046566333</v>
      </c>
    </row>
    <row r="319" spans="1:7" x14ac:dyDescent="0.35">
      <c r="C319" t="s">
        <v>16</v>
      </c>
      <c r="D319" s="6">
        <v>12.0711402893066</v>
      </c>
      <c r="E319">
        <v>12.29</v>
      </c>
      <c r="F319" s="3">
        <f t="shared" si="10"/>
        <v>-0.21885971069339938</v>
      </c>
      <c r="G319" s="3">
        <f t="shared" si="11"/>
        <v>4.7899572964798472E-2</v>
      </c>
    </row>
    <row r="320" spans="1:7" x14ac:dyDescent="0.35">
      <c r="C320" t="s">
        <v>19</v>
      </c>
      <c r="D320" s="6">
        <v>9.5702066421508807</v>
      </c>
      <c r="E320">
        <v>7.2</v>
      </c>
      <c r="F320" s="3">
        <f t="shared" si="10"/>
        <v>2.3702066421508805</v>
      </c>
      <c r="G320" s="3">
        <f t="shared" si="11"/>
        <v>5.6178795264961519</v>
      </c>
    </row>
    <row r="321" spans="1:7" x14ac:dyDescent="0.35">
      <c r="C321" t="s">
        <v>20</v>
      </c>
      <c r="D321" s="6">
        <v>11.3217678070068</v>
      </c>
      <c r="E321">
        <v>9.27</v>
      </c>
      <c r="F321" s="3">
        <f t="shared" ref="F321:F384" si="12">D321-E321</f>
        <v>2.0517678070068008</v>
      </c>
      <c r="G321" s="3">
        <f t="shared" ref="G321:G384" si="13">F321^2</f>
        <v>4.2097511338694966</v>
      </c>
    </row>
    <row r="322" spans="1:7" x14ac:dyDescent="0.35">
      <c r="C322" t="s">
        <v>21</v>
      </c>
      <c r="D322" s="6">
        <v>11.316707611084</v>
      </c>
      <c r="E322">
        <v>6.38</v>
      </c>
      <c r="F322" s="3">
        <f t="shared" si="12"/>
        <v>4.9367076110840005</v>
      </c>
      <c r="G322" s="3">
        <f t="shared" si="13"/>
        <v>24.371082037334698</v>
      </c>
    </row>
    <row r="323" spans="1:7" x14ac:dyDescent="0.35">
      <c r="C323" t="s">
        <v>22</v>
      </c>
      <c r="D323" s="6">
        <v>10.8149366378784</v>
      </c>
      <c r="E323">
        <v>4.74</v>
      </c>
      <c r="F323" s="3">
        <f t="shared" si="12"/>
        <v>6.0749366378784</v>
      </c>
      <c r="G323" s="3">
        <f t="shared" si="13"/>
        <v>36.904855154237318</v>
      </c>
    </row>
    <row r="324" spans="1:7" x14ac:dyDescent="0.35">
      <c r="C324" t="s">
        <v>23</v>
      </c>
      <c r="D324" s="6">
        <v>11.3730764389038</v>
      </c>
      <c r="E324">
        <v>7.66</v>
      </c>
      <c r="F324" s="3">
        <f t="shared" si="12"/>
        <v>3.7130764389037996</v>
      </c>
      <c r="G324" s="3">
        <f t="shared" si="13"/>
        <v>13.786936641142521</v>
      </c>
    </row>
    <row r="325" spans="1:7" x14ac:dyDescent="0.35">
      <c r="C325" t="s">
        <v>24</v>
      </c>
      <c r="D325" s="6">
        <v>10.251777648925801</v>
      </c>
      <c r="E325">
        <v>4.1399999999999997</v>
      </c>
      <c r="F325" s="3">
        <f t="shared" si="12"/>
        <v>6.1117776489258011</v>
      </c>
      <c r="G325" s="3">
        <f t="shared" si="13"/>
        <v>37.353826029908994</v>
      </c>
    </row>
    <row r="326" spans="1:7" x14ac:dyDescent="0.35">
      <c r="A326" s="1"/>
      <c r="B326" s="10"/>
      <c r="C326" t="s">
        <v>25</v>
      </c>
      <c r="D326" s="6">
        <v>11.270515441894499</v>
      </c>
      <c r="E326">
        <v>7.84</v>
      </c>
      <c r="F326" s="3">
        <f t="shared" si="12"/>
        <v>3.4305154418944994</v>
      </c>
      <c r="G326" s="3">
        <f t="shared" si="13"/>
        <v>11.768436197076612</v>
      </c>
    </row>
    <row r="327" spans="1:7" x14ac:dyDescent="0.35">
      <c r="B327" s="7" t="s">
        <v>53</v>
      </c>
      <c r="C327" t="s">
        <v>27</v>
      </c>
      <c r="D327" s="6">
        <v>8.3434467315673793</v>
      </c>
      <c r="E327">
        <v>3.79</v>
      </c>
      <c r="F327" s="3">
        <f t="shared" si="12"/>
        <v>4.5534467315673792</v>
      </c>
      <c r="G327" s="3">
        <f t="shared" si="13"/>
        <v>20.733877137221647</v>
      </c>
    </row>
    <row r="328" spans="1:7" x14ac:dyDescent="0.35">
      <c r="C328" t="s">
        <v>28</v>
      </c>
      <c r="D328" s="6">
        <v>1.4219319820404099</v>
      </c>
      <c r="E328">
        <v>2.19</v>
      </c>
      <c r="F328" s="3">
        <f t="shared" si="12"/>
        <v>-0.76806801795959001</v>
      </c>
      <c r="G328" s="3">
        <f t="shared" si="13"/>
        <v>0.5899284802123731</v>
      </c>
    </row>
    <row r="329" spans="1:7" x14ac:dyDescent="0.35">
      <c r="A329">
        <v>24</v>
      </c>
      <c r="C329" t="s">
        <v>29</v>
      </c>
      <c r="D329" s="6">
        <v>6.9270071983337402</v>
      </c>
      <c r="E329">
        <v>3.6500000000000004</v>
      </c>
      <c r="F329" s="3">
        <f t="shared" si="12"/>
        <v>3.2770071983337399</v>
      </c>
      <c r="G329" s="3">
        <f t="shared" si="13"/>
        <v>10.738776177931147</v>
      </c>
    </row>
    <row r="330" spans="1:7" x14ac:dyDescent="0.35">
      <c r="C330" t="s">
        <v>11</v>
      </c>
      <c r="D330" s="6">
        <v>4.5333824157714799</v>
      </c>
      <c r="E330">
        <v>5.93</v>
      </c>
      <c r="F330" s="3">
        <f t="shared" si="12"/>
        <v>-1.3966175842285198</v>
      </c>
      <c r="G330" s="3">
        <f t="shared" si="13"/>
        <v>1.9505406765763065</v>
      </c>
    </row>
    <row r="331" spans="1:7" x14ac:dyDescent="0.35">
      <c r="C331" t="s">
        <v>13</v>
      </c>
      <c r="D331" s="6">
        <v>5.9023609161376998</v>
      </c>
      <c r="E331">
        <v>4.28</v>
      </c>
      <c r="F331" s="3">
        <f t="shared" si="12"/>
        <v>1.6223609161376995</v>
      </c>
      <c r="G331" s="3">
        <f t="shared" si="13"/>
        <v>2.6320549422111554</v>
      </c>
    </row>
    <row r="332" spans="1:7" x14ac:dyDescent="0.35">
      <c r="C332" t="s">
        <v>14</v>
      </c>
      <c r="D332" s="6">
        <v>2.3176739215850799</v>
      </c>
      <c r="E332">
        <v>2.59</v>
      </c>
      <c r="F332" s="3">
        <f t="shared" si="12"/>
        <v>-0.27232607841491996</v>
      </c>
      <c r="G332" s="3">
        <f t="shared" si="13"/>
        <v>7.4161492984849128E-2</v>
      </c>
    </row>
    <row r="333" spans="1:7" x14ac:dyDescent="0.35">
      <c r="C333" t="s">
        <v>16</v>
      </c>
      <c r="D333" s="6">
        <v>5.5747094154357901</v>
      </c>
      <c r="E333">
        <v>4.01</v>
      </c>
      <c r="F333" s="3">
        <f t="shared" si="12"/>
        <v>1.5647094154357903</v>
      </c>
      <c r="G333" s="3">
        <f t="shared" si="13"/>
        <v>2.4483155547534126</v>
      </c>
    </row>
    <row r="334" spans="1:7" x14ac:dyDescent="0.35">
      <c r="C334" t="s">
        <v>17</v>
      </c>
      <c r="D334" s="6">
        <v>1.8097038269043</v>
      </c>
      <c r="E334">
        <v>2.68</v>
      </c>
      <c r="F334" s="3">
        <f t="shared" si="12"/>
        <v>-0.87029617309570018</v>
      </c>
      <c r="G334" s="3">
        <f t="shared" si="13"/>
        <v>0.75741542890502089</v>
      </c>
    </row>
    <row r="335" spans="1:7" x14ac:dyDescent="0.35">
      <c r="C335" t="s">
        <v>19</v>
      </c>
      <c r="D335" s="6">
        <v>3.4525215625762899</v>
      </c>
      <c r="E335">
        <v>4.03</v>
      </c>
      <c r="F335" s="3">
        <f t="shared" si="12"/>
        <v>-0.5774784374237103</v>
      </c>
      <c r="G335" s="3">
        <f t="shared" si="13"/>
        <v>0.33348134568933008</v>
      </c>
    </row>
    <row r="336" spans="1:7" x14ac:dyDescent="0.35">
      <c r="C336" t="s">
        <v>20</v>
      </c>
      <c r="D336" s="6">
        <v>4.0301814079284703</v>
      </c>
      <c r="E336">
        <v>5.07</v>
      </c>
      <c r="F336" s="3">
        <f t="shared" si="12"/>
        <v>-1.0398185920715299</v>
      </c>
      <c r="G336" s="3">
        <f t="shared" si="13"/>
        <v>1.0812227044176188</v>
      </c>
    </row>
    <row r="337" spans="1:7" x14ac:dyDescent="0.35">
      <c r="C337" t="s">
        <v>21</v>
      </c>
      <c r="D337" s="6">
        <v>4.0951595306396502</v>
      </c>
      <c r="E337">
        <v>3.16</v>
      </c>
      <c r="F337" s="3">
        <f t="shared" si="12"/>
        <v>0.93515953063965007</v>
      </c>
      <c r="G337" s="3">
        <f t="shared" si="13"/>
        <v>0.87452334774617058</v>
      </c>
    </row>
    <row r="338" spans="1:7" x14ac:dyDescent="0.35">
      <c r="C338" t="s">
        <v>22</v>
      </c>
      <c r="D338" s="6">
        <v>3.6535696983337398</v>
      </c>
      <c r="E338">
        <v>2.7</v>
      </c>
      <c r="F338" s="3">
        <f t="shared" si="12"/>
        <v>0.95356969833373961</v>
      </c>
      <c r="G338" s="3">
        <f t="shared" si="13"/>
        <v>0.90929516958029921</v>
      </c>
    </row>
    <row r="339" spans="1:7" x14ac:dyDescent="0.35">
      <c r="C339" t="s">
        <v>23</v>
      </c>
      <c r="D339" s="6">
        <v>6.7314910888671902</v>
      </c>
      <c r="E339">
        <v>3.14</v>
      </c>
      <c r="F339" s="3">
        <f t="shared" si="12"/>
        <v>3.59149108886719</v>
      </c>
      <c r="G339" s="3">
        <f t="shared" si="13"/>
        <v>12.898808241412434</v>
      </c>
    </row>
    <row r="340" spans="1:7" x14ac:dyDescent="0.35">
      <c r="C340" t="s">
        <v>24</v>
      </c>
      <c r="D340" s="6">
        <v>2.3104209899902299</v>
      </c>
      <c r="E340">
        <v>3.26</v>
      </c>
      <c r="F340" s="3">
        <f t="shared" si="12"/>
        <v>-0.94957901000976985</v>
      </c>
      <c r="G340" s="3">
        <f t="shared" si="13"/>
        <v>0.90170029625113457</v>
      </c>
    </row>
    <row r="341" spans="1:7" x14ac:dyDescent="0.35">
      <c r="A341" s="1"/>
      <c r="B341" s="10"/>
      <c r="C341" t="s">
        <v>25</v>
      </c>
      <c r="D341" s="6">
        <v>6.0226778984069798</v>
      </c>
      <c r="E341">
        <v>4.5</v>
      </c>
      <c r="F341" s="3">
        <f t="shared" si="12"/>
        <v>1.5226778984069798</v>
      </c>
      <c r="G341" s="3">
        <f t="shared" si="13"/>
        <v>2.3185479822970967</v>
      </c>
    </row>
    <row r="342" spans="1:7" x14ac:dyDescent="0.35">
      <c r="B342" s="7" t="s">
        <v>54</v>
      </c>
      <c r="C342" t="s">
        <v>27</v>
      </c>
      <c r="D342" s="6">
        <v>8.3440732955932599</v>
      </c>
      <c r="E342">
        <v>9.76</v>
      </c>
      <c r="F342" s="3">
        <f t="shared" si="12"/>
        <v>-1.4159267044067398</v>
      </c>
      <c r="G342" s="3">
        <f t="shared" si="13"/>
        <v>2.0048484322521314</v>
      </c>
    </row>
    <row r="343" spans="1:7" x14ac:dyDescent="0.35">
      <c r="C343" t="s">
        <v>28</v>
      </c>
      <c r="D343" s="6">
        <v>1.4219366312027</v>
      </c>
      <c r="E343">
        <v>1.58</v>
      </c>
      <c r="F343" s="3">
        <f t="shared" si="12"/>
        <v>-0.1580633687973001</v>
      </c>
      <c r="G343" s="3">
        <f t="shared" si="13"/>
        <v>2.4984028555551301E-2</v>
      </c>
    </row>
    <row r="344" spans="1:7" x14ac:dyDescent="0.35">
      <c r="C344" t="s">
        <v>29</v>
      </c>
      <c r="D344" s="6">
        <v>6.9238629341125497</v>
      </c>
      <c r="E344">
        <v>8.15</v>
      </c>
      <c r="F344" s="3">
        <f t="shared" si="12"/>
        <v>-1.2261370658874506</v>
      </c>
      <c r="G344" s="3">
        <f t="shared" si="13"/>
        <v>1.5034121043430864</v>
      </c>
    </row>
    <row r="345" spans="1:7" x14ac:dyDescent="0.35">
      <c r="C345" t="s">
        <v>30</v>
      </c>
      <c r="D345" s="6">
        <v>9.5507850646972692</v>
      </c>
      <c r="E345">
        <v>10.039999999999999</v>
      </c>
      <c r="F345" s="3">
        <f t="shared" si="12"/>
        <v>-0.48921493530272997</v>
      </c>
      <c r="G345" s="3">
        <f t="shared" si="13"/>
        <v>0.23933125292325427</v>
      </c>
    </row>
    <row r="346" spans="1:7" x14ac:dyDescent="0.35">
      <c r="A346">
        <v>25</v>
      </c>
      <c r="C346" t="s">
        <v>11</v>
      </c>
      <c r="D346" s="6">
        <v>4.5196471214294398</v>
      </c>
      <c r="E346">
        <v>6.63</v>
      </c>
      <c r="F346" s="3">
        <f t="shared" si="12"/>
        <v>-2.1103528785705601</v>
      </c>
      <c r="G346" s="3">
        <f t="shared" si="13"/>
        <v>4.4535892720910493</v>
      </c>
    </row>
    <row r="347" spans="1:7" x14ac:dyDescent="0.35">
      <c r="C347" t="s">
        <v>13</v>
      </c>
      <c r="D347" s="6">
        <v>5.9138917922973597</v>
      </c>
      <c r="E347">
        <v>6.84</v>
      </c>
      <c r="F347" s="3">
        <f t="shared" si="12"/>
        <v>-0.92610820770264013</v>
      </c>
      <c r="G347" s="3">
        <f t="shared" si="13"/>
        <v>0.85767641237419645</v>
      </c>
    </row>
    <row r="348" spans="1:7" x14ac:dyDescent="0.35">
      <c r="C348" t="s">
        <v>14</v>
      </c>
      <c r="D348" s="6">
        <v>2.3176932334899898</v>
      </c>
      <c r="E348">
        <v>2.94</v>
      </c>
      <c r="F348" s="3">
        <f t="shared" si="12"/>
        <v>-0.62230676651001016</v>
      </c>
      <c r="G348" s="3">
        <f t="shared" si="13"/>
        <v>0.38726571164414431</v>
      </c>
    </row>
    <row r="349" spans="1:7" x14ac:dyDescent="0.35">
      <c r="C349" t="s">
        <v>16</v>
      </c>
      <c r="D349" s="6">
        <v>5.5777354240417498</v>
      </c>
      <c r="E349">
        <v>8.77</v>
      </c>
      <c r="F349" s="3">
        <f t="shared" si="12"/>
        <v>-3.1922645759582498</v>
      </c>
      <c r="G349" s="3">
        <f t="shared" si="13"/>
        <v>10.190553122917905</v>
      </c>
    </row>
    <row r="350" spans="1:7" x14ac:dyDescent="0.35">
      <c r="C350" t="s">
        <v>17</v>
      </c>
      <c r="D350" s="6">
        <v>1.8097119331359901</v>
      </c>
      <c r="E350">
        <v>2.33</v>
      </c>
      <c r="F350" s="3">
        <f t="shared" si="12"/>
        <v>-0.52028806686400997</v>
      </c>
      <c r="G350" s="3">
        <f t="shared" si="13"/>
        <v>0.27069967252108851</v>
      </c>
    </row>
    <row r="351" spans="1:7" x14ac:dyDescent="0.35">
      <c r="C351" t="s">
        <v>19</v>
      </c>
      <c r="D351" s="6">
        <v>3.4494559764862101</v>
      </c>
      <c r="E351">
        <v>4.95</v>
      </c>
      <c r="F351" s="3">
        <f t="shared" si="12"/>
        <v>-1.5005440235137901</v>
      </c>
      <c r="G351" s="3">
        <f t="shared" si="13"/>
        <v>2.2516323665029541</v>
      </c>
    </row>
    <row r="352" spans="1:7" x14ac:dyDescent="0.35">
      <c r="C352" t="s">
        <v>20</v>
      </c>
      <c r="D352" s="6">
        <v>4.0200843811035201</v>
      </c>
      <c r="E352">
        <v>5.78</v>
      </c>
      <c r="F352" s="3">
        <f t="shared" si="12"/>
        <v>-1.7599156188964802</v>
      </c>
      <c r="G352" s="3">
        <f t="shared" si="13"/>
        <v>3.097302985635781</v>
      </c>
    </row>
    <row r="353" spans="1:7" x14ac:dyDescent="0.35">
      <c r="C353" t="s">
        <v>21</v>
      </c>
      <c r="D353" s="6">
        <v>4.0730605125427299</v>
      </c>
      <c r="E353">
        <v>4.9800000000000004</v>
      </c>
      <c r="F353" s="3">
        <f t="shared" si="12"/>
        <v>-0.90693948745727049</v>
      </c>
      <c r="G353" s="3">
        <f t="shared" si="13"/>
        <v>0.82253923390925654</v>
      </c>
    </row>
    <row r="354" spans="1:7" x14ac:dyDescent="0.35">
      <c r="C354" t="s">
        <v>22</v>
      </c>
      <c r="D354" s="6">
        <v>3.6473658084869398</v>
      </c>
      <c r="E354">
        <v>3.96</v>
      </c>
      <c r="F354" s="3">
        <f t="shared" si="12"/>
        <v>-0.31263419151306016</v>
      </c>
      <c r="G354" s="3">
        <f t="shared" si="13"/>
        <v>9.7740137703024768E-2</v>
      </c>
    </row>
    <row r="355" spans="1:7" x14ac:dyDescent="0.35">
      <c r="C355" t="s">
        <v>23</v>
      </c>
      <c r="D355" s="6">
        <v>6.7005734443664604</v>
      </c>
      <c r="E355">
        <v>7.8800000000000008</v>
      </c>
      <c r="F355" s="3">
        <f t="shared" si="12"/>
        <v>-1.1794265556335404</v>
      </c>
      <c r="G355" s="3">
        <f t="shared" si="13"/>
        <v>1.3910470001335966</v>
      </c>
    </row>
    <row r="356" spans="1:7" x14ac:dyDescent="0.35">
      <c r="C356" t="s">
        <v>24</v>
      </c>
      <c r="D356" s="6">
        <v>2.3104405403137198</v>
      </c>
      <c r="E356">
        <v>3.34</v>
      </c>
      <c r="F356" s="3">
        <f t="shared" si="12"/>
        <v>-1.02955945968628</v>
      </c>
      <c r="G356" s="3">
        <f t="shared" si="13"/>
        <v>1.0599926810295048</v>
      </c>
    </row>
    <row r="357" spans="1:7" x14ac:dyDescent="0.35">
      <c r="A357" s="1"/>
      <c r="B357" s="10"/>
      <c r="C357" t="s">
        <v>25</v>
      </c>
      <c r="D357" s="6">
        <v>6.0143284797668501</v>
      </c>
      <c r="E357">
        <v>6.82</v>
      </c>
      <c r="F357" s="3">
        <f t="shared" si="12"/>
        <v>-0.80567152023315014</v>
      </c>
      <c r="G357" s="3">
        <f t="shared" si="13"/>
        <v>0.64910659851479524</v>
      </c>
    </row>
    <row r="358" spans="1:7" x14ac:dyDescent="0.35">
      <c r="B358" s="12" t="s">
        <v>55</v>
      </c>
      <c r="C358" t="s">
        <v>28</v>
      </c>
      <c r="D358" s="6">
        <v>1.4219366312027</v>
      </c>
      <c r="E358">
        <v>1.5299999999999998</v>
      </c>
      <c r="F358" s="3">
        <f t="shared" si="12"/>
        <v>-0.10806336879729983</v>
      </c>
      <c r="G358" s="3">
        <f t="shared" si="13"/>
        <v>1.1677691675821235E-2</v>
      </c>
    </row>
    <row r="359" spans="1:7" x14ac:dyDescent="0.35">
      <c r="B359" s="12"/>
      <c r="C359" t="s">
        <v>29</v>
      </c>
      <c r="D359" s="6">
        <v>6.9238629341125497</v>
      </c>
      <c r="E359">
        <v>5.24</v>
      </c>
      <c r="F359" s="3">
        <f t="shared" si="12"/>
        <v>1.6838629341125495</v>
      </c>
      <c r="G359" s="3">
        <f t="shared" si="13"/>
        <v>2.8353943808781241</v>
      </c>
    </row>
    <row r="360" spans="1:7" x14ac:dyDescent="0.35">
      <c r="B360" s="12"/>
      <c r="C360" t="s">
        <v>30</v>
      </c>
      <c r="D360" s="6">
        <v>9.5507850646972692</v>
      </c>
      <c r="E360">
        <v>7.52</v>
      </c>
      <c r="F360" s="3">
        <f t="shared" si="12"/>
        <v>2.0307850646972696</v>
      </c>
      <c r="G360" s="3">
        <f t="shared" si="13"/>
        <v>4.1240879789974931</v>
      </c>
    </row>
    <row r="361" spans="1:7" x14ac:dyDescent="0.35">
      <c r="B361" s="12"/>
      <c r="C361" t="s">
        <v>13</v>
      </c>
      <c r="D361" s="6">
        <v>5.9138917922973597</v>
      </c>
      <c r="E361">
        <v>6.08</v>
      </c>
      <c r="F361" s="3">
        <f t="shared" si="12"/>
        <v>-0.16610820770264034</v>
      </c>
      <c r="G361" s="3">
        <f t="shared" si="13"/>
        <v>2.7591936666183505E-2</v>
      </c>
    </row>
    <row r="362" spans="1:7" x14ac:dyDescent="0.35">
      <c r="B362" s="12"/>
      <c r="C362" t="s">
        <v>14</v>
      </c>
      <c r="D362" s="6">
        <v>2.3176932334899898</v>
      </c>
      <c r="E362">
        <v>3.07</v>
      </c>
      <c r="F362" s="3">
        <f t="shared" si="12"/>
        <v>-0.75230676651001005</v>
      </c>
      <c r="G362" s="3">
        <f t="shared" si="13"/>
        <v>0.56596547093674676</v>
      </c>
    </row>
    <row r="363" spans="1:7" x14ac:dyDescent="0.35">
      <c r="B363" s="12"/>
      <c r="C363" t="s">
        <v>16</v>
      </c>
      <c r="D363" s="6">
        <v>5.5777354240417498</v>
      </c>
      <c r="E363">
        <v>6.21</v>
      </c>
      <c r="F363" s="3">
        <f t="shared" si="12"/>
        <v>-0.63226457595825014</v>
      </c>
      <c r="G363" s="3">
        <f t="shared" si="13"/>
        <v>0.39975849401166585</v>
      </c>
    </row>
    <row r="364" spans="1:7" x14ac:dyDescent="0.35">
      <c r="B364" s="12"/>
      <c r="C364" t="s">
        <v>17</v>
      </c>
      <c r="D364" s="6">
        <v>1.8097119331359901</v>
      </c>
      <c r="E364">
        <v>2.34</v>
      </c>
      <c r="F364" s="3">
        <f t="shared" si="12"/>
        <v>-0.53028806686400976</v>
      </c>
      <c r="G364" s="3">
        <f t="shared" si="13"/>
        <v>0.28120543385836849</v>
      </c>
    </row>
    <row r="365" spans="1:7" x14ac:dyDescent="0.35">
      <c r="A365">
        <v>26</v>
      </c>
      <c r="B365" s="12"/>
      <c r="C365" t="s">
        <v>19</v>
      </c>
      <c r="D365" s="6">
        <v>3.4494559764862101</v>
      </c>
      <c r="E365">
        <v>4.58</v>
      </c>
      <c r="F365" s="3">
        <f t="shared" si="12"/>
        <v>-1.13054402351379</v>
      </c>
      <c r="G365" s="3">
        <f t="shared" si="13"/>
        <v>1.278129789102749</v>
      </c>
    </row>
    <row r="366" spans="1:7" x14ac:dyDescent="0.35">
      <c r="B366" s="12"/>
      <c r="C366" t="s">
        <v>20</v>
      </c>
      <c r="D366" s="6">
        <v>4.0200843811035201</v>
      </c>
      <c r="E366">
        <v>5.43</v>
      </c>
      <c r="F366" s="3">
        <f t="shared" si="12"/>
        <v>-1.4099156188964796</v>
      </c>
      <c r="G366" s="3">
        <f t="shared" si="13"/>
        <v>1.9878620524082433</v>
      </c>
    </row>
    <row r="367" spans="1:7" x14ac:dyDescent="0.35">
      <c r="B367" s="12"/>
      <c r="C367" t="s">
        <v>21</v>
      </c>
      <c r="D367" s="6">
        <v>4.0730605125427299</v>
      </c>
      <c r="E367">
        <v>3.6100000000000003</v>
      </c>
      <c r="F367" s="3">
        <f t="shared" si="12"/>
        <v>0.46306051254272962</v>
      </c>
      <c r="G367" s="3">
        <f t="shared" si="13"/>
        <v>0.21442503827633547</v>
      </c>
    </row>
    <row r="368" spans="1:7" x14ac:dyDescent="0.35">
      <c r="B368" s="12"/>
      <c r="C368" t="s">
        <v>22</v>
      </c>
      <c r="D368" s="6">
        <v>3.6473658084869398</v>
      </c>
      <c r="E368">
        <v>2.89</v>
      </c>
      <c r="F368" s="3">
        <f t="shared" si="12"/>
        <v>0.75736580848693968</v>
      </c>
      <c r="G368" s="3">
        <f t="shared" si="13"/>
        <v>0.57360296786507581</v>
      </c>
    </row>
    <row r="369" spans="1:7" x14ac:dyDescent="0.35">
      <c r="B369" s="12"/>
      <c r="C369" t="s">
        <v>23</v>
      </c>
      <c r="D369" s="6">
        <v>6.7005734443664604</v>
      </c>
      <c r="E369">
        <v>3.08</v>
      </c>
      <c r="F369" s="3">
        <f t="shared" si="12"/>
        <v>3.6205734443664603</v>
      </c>
      <c r="G369" s="3">
        <f t="shared" si="13"/>
        <v>13.108552066051613</v>
      </c>
    </row>
    <row r="370" spans="1:7" x14ac:dyDescent="0.35">
      <c r="B370" s="12"/>
      <c r="C370" t="s">
        <v>24</v>
      </c>
      <c r="D370" s="6">
        <v>2.3104405403137198</v>
      </c>
      <c r="E370">
        <v>3.32</v>
      </c>
      <c r="F370" s="3">
        <f t="shared" si="12"/>
        <v>-1.00955945968628</v>
      </c>
      <c r="G370" s="3">
        <f t="shared" si="13"/>
        <v>1.0192103026420536</v>
      </c>
    </row>
    <row r="371" spans="1:7" x14ac:dyDescent="0.35">
      <c r="A371" s="1"/>
      <c r="B371" s="12"/>
      <c r="C371" t="s">
        <v>25</v>
      </c>
      <c r="D371" s="6">
        <v>6.0143284797668501</v>
      </c>
      <c r="E371">
        <v>5.89</v>
      </c>
      <c r="F371" s="3">
        <f t="shared" si="12"/>
        <v>0.12432847976685046</v>
      </c>
      <c r="G371" s="3">
        <f t="shared" si="13"/>
        <v>1.5457570881136145E-2</v>
      </c>
    </row>
    <row r="372" spans="1:7" x14ac:dyDescent="0.35">
      <c r="B372" s="12" t="s">
        <v>56</v>
      </c>
      <c r="C372" t="s">
        <v>27</v>
      </c>
      <c r="D372" s="6">
        <v>17.267972946166999</v>
      </c>
      <c r="E372">
        <v>21.89</v>
      </c>
      <c r="F372" s="3">
        <f t="shared" si="12"/>
        <v>-4.6220270538330013</v>
      </c>
      <c r="G372" s="3">
        <f t="shared" si="13"/>
        <v>21.363134086364173</v>
      </c>
    </row>
    <row r="373" spans="1:7" x14ac:dyDescent="0.35">
      <c r="B373" s="12"/>
      <c r="C373" t="s">
        <v>29</v>
      </c>
      <c r="D373" s="6">
        <v>16.965282440185501</v>
      </c>
      <c r="E373">
        <v>13.88</v>
      </c>
      <c r="F373" s="3">
        <f t="shared" si="12"/>
        <v>3.0852824401854999</v>
      </c>
      <c r="G373" s="3">
        <f t="shared" si="13"/>
        <v>9.5189677357169931</v>
      </c>
    </row>
    <row r="374" spans="1:7" x14ac:dyDescent="0.35">
      <c r="B374" s="12"/>
      <c r="C374" t="s">
        <v>30</v>
      </c>
      <c r="D374" s="6">
        <v>20.554725646972699</v>
      </c>
      <c r="E374">
        <v>16.28</v>
      </c>
      <c r="F374" s="3">
        <f t="shared" si="12"/>
        <v>4.2747256469726977</v>
      </c>
      <c r="G374" s="3">
        <f t="shared" si="13"/>
        <v>18.27327935688615</v>
      </c>
    </row>
    <row r="375" spans="1:7" x14ac:dyDescent="0.35">
      <c r="B375" s="12"/>
      <c r="C375" t="s">
        <v>11</v>
      </c>
      <c r="D375" s="6">
        <v>13.547269821166999</v>
      </c>
      <c r="E375">
        <v>12.65</v>
      </c>
      <c r="F375" s="3">
        <f t="shared" si="12"/>
        <v>0.89726982116699894</v>
      </c>
      <c r="G375" s="3">
        <f t="shared" si="13"/>
        <v>0.80509313197705823</v>
      </c>
    </row>
    <row r="376" spans="1:7" x14ac:dyDescent="0.35">
      <c r="B376" s="12"/>
      <c r="C376" t="s">
        <v>13</v>
      </c>
      <c r="D376" s="6">
        <v>14.5403709411621</v>
      </c>
      <c r="E376">
        <v>9.49</v>
      </c>
      <c r="F376" s="3">
        <f t="shared" si="12"/>
        <v>5.0503709411621003</v>
      </c>
      <c r="G376" s="3">
        <f t="shared" si="13"/>
        <v>25.50624664333456</v>
      </c>
    </row>
    <row r="377" spans="1:7" x14ac:dyDescent="0.35">
      <c r="B377" s="12"/>
      <c r="C377" t="s">
        <v>16</v>
      </c>
      <c r="D377" s="6">
        <v>17.406356811523398</v>
      </c>
      <c r="E377">
        <v>16.690000000000001</v>
      </c>
      <c r="F377" s="3">
        <f t="shared" si="12"/>
        <v>0.71635681152339714</v>
      </c>
      <c r="G377" s="3">
        <f t="shared" si="13"/>
        <v>0.5131670814159679</v>
      </c>
    </row>
    <row r="378" spans="1:7" x14ac:dyDescent="0.35">
      <c r="A378">
        <v>27</v>
      </c>
      <c r="B378" s="12"/>
      <c r="C378" t="s">
        <v>17</v>
      </c>
      <c r="D378" s="6">
        <v>12.133440017700201</v>
      </c>
      <c r="E378">
        <v>8.48</v>
      </c>
      <c r="F378" s="3">
        <f t="shared" si="12"/>
        <v>3.6534400177002002</v>
      </c>
      <c r="G378" s="3">
        <f t="shared" si="13"/>
        <v>13.347623962933239</v>
      </c>
    </row>
    <row r="379" spans="1:7" x14ac:dyDescent="0.35">
      <c r="B379" s="12"/>
      <c r="C379" t="s">
        <v>19</v>
      </c>
      <c r="D379" s="6">
        <v>13.0069427490234</v>
      </c>
      <c r="E379">
        <v>9.4499999999999993</v>
      </c>
      <c r="F379" s="3">
        <f t="shared" si="12"/>
        <v>3.5569427490234009</v>
      </c>
      <c r="G379" s="3">
        <f t="shared" si="13"/>
        <v>12.651841719830148</v>
      </c>
    </row>
    <row r="380" spans="1:7" x14ac:dyDescent="0.35">
      <c r="B380" s="12"/>
      <c r="C380" t="s">
        <v>20</v>
      </c>
      <c r="D380" s="6">
        <v>13.797681808471699</v>
      </c>
      <c r="E380">
        <v>10.28</v>
      </c>
      <c r="F380" s="3">
        <f t="shared" si="12"/>
        <v>3.5176818084716999</v>
      </c>
      <c r="G380" s="3">
        <f t="shared" si="13"/>
        <v>12.374085305652729</v>
      </c>
    </row>
    <row r="381" spans="1:7" x14ac:dyDescent="0.35">
      <c r="B381" s="12"/>
      <c r="C381" t="s">
        <v>21</v>
      </c>
      <c r="D381" s="6">
        <v>13.837394714355501</v>
      </c>
      <c r="E381">
        <v>9.67</v>
      </c>
      <c r="F381" s="3">
        <f t="shared" si="12"/>
        <v>4.1673947143555008</v>
      </c>
      <c r="G381" s="3">
        <f t="shared" si="13"/>
        <v>17.367178705238167</v>
      </c>
    </row>
    <row r="382" spans="1:7" x14ac:dyDescent="0.35">
      <c r="B382" s="12"/>
      <c r="C382" t="s">
        <v>23</v>
      </c>
      <c r="D382" s="6">
        <v>17.062202453613299</v>
      </c>
      <c r="E382">
        <v>16.05</v>
      </c>
      <c r="F382" s="3">
        <f t="shared" si="12"/>
        <v>1.0122024536132983</v>
      </c>
      <c r="G382" s="3">
        <f t="shared" si="13"/>
        <v>1.0245538071007814</v>
      </c>
    </row>
    <row r="383" spans="1:7" x14ac:dyDescent="0.35">
      <c r="A383" s="1"/>
      <c r="B383" s="12"/>
      <c r="C383" t="s">
        <v>25</v>
      </c>
      <c r="D383" s="6">
        <v>14.709205627441399</v>
      </c>
      <c r="E383">
        <v>12.07</v>
      </c>
      <c r="F383" s="3">
        <f t="shared" si="12"/>
        <v>2.6392056274413989</v>
      </c>
      <c r="G383" s="3">
        <f t="shared" si="13"/>
        <v>6.9654063439183478</v>
      </c>
    </row>
    <row r="384" spans="1:7" x14ac:dyDescent="0.35">
      <c r="B384" s="12" t="s">
        <v>57</v>
      </c>
      <c r="C384" t="s">
        <v>27</v>
      </c>
      <c r="D384" s="6">
        <v>29.1455898284912</v>
      </c>
      <c r="E384">
        <v>29.63</v>
      </c>
      <c r="F384" s="3">
        <f t="shared" si="12"/>
        <v>-0.48441017150879873</v>
      </c>
      <c r="G384" s="3">
        <f t="shared" si="13"/>
        <v>0.2346532142611838</v>
      </c>
    </row>
    <row r="385" spans="1:7" x14ac:dyDescent="0.35">
      <c r="B385" s="12"/>
      <c r="C385" t="s">
        <v>29</v>
      </c>
      <c r="D385" s="6">
        <v>29.586986541748001</v>
      </c>
      <c r="E385">
        <v>33.94</v>
      </c>
      <c r="F385" s="3">
        <f t="shared" ref="F385:F418" si="14">D385-E385</f>
        <v>-4.353013458251997</v>
      </c>
      <c r="G385" s="3">
        <f t="shared" ref="G385:G418" si="15">F385^2</f>
        <v>18.948726167723009</v>
      </c>
    </row>
    <row r="386" spans="1:7" x14ac:dyDescent="0.35">
      <c r="B386" s="12"/>
      <c r="C386" t="s">
        <v>11</v>
      </c>
      <c r="D386" s="6">
        <v>24.961597442626999</v>
      </c>
      <c r="E386">
        <v>29.25</v>
      </c>
      <c r="F386" s="3">
        <f t="shared" si="14"/>
        <v>-4.2884025573730007</v>
      </c>
      <c r="G386" s="3">
        <f t="shared" si="15"/>
        <v>18.390396494083294</v>
      </c>
    </row>
    <row r="387" spans="1:7" x14ac:dyDescent="0.35">
      <c r="B387" s="12"/>
      <c r="C387" t="s">
        <v>13</v>
      </c>
      <c r="D387" s="6">
        <v>25.693353652954102</v>
      </c>
      <c r="E387">
        <v>23.94</v>
      </c>
      <c r="F387" s="3">
        <f t="shared" si="14"/>
        <v>1.7533536529541003</v>
      </c>
      <c r="G387" s="3">
        <f t="shared" si="15"/>
        <v>3.0742490323274874</v>
      </c>
    </row>
    <row r="388" spans="1:7" x14ac:dyDescent="0.35">
      <c r="A388">
        <v>28</v>
      </c>
      <c r="B388" s="12"/>
      <c r="C388" t="s">
        <v>16</v>
      </c>
      <c r="D388" s="6">
        <v>28.687623977661101</v>
      </c>
      <c r="E388">
        <v>32.159999999999997</v>
      </c>
      <c r="F388" s="3">
        <f t="shared" si="14"/>
        <v>-3.4723760223388958</v>
      </c>
      <c r="G388" s="3">
        <f t="shared" si="15"/>
        <v>12.057395240514092</v>
      </c>
    </row>
    <row r="389" spans="1:7" x14ac:dyDescent="0.35">
      <c r="B389" s="12"/>
      <c r="C389" t="s">
        <v>19</v>
      </c>
      <c r="D389" s="6">
        <v>22.483201980590799</v>
      </c>
      <c r="E389">
        <v>22.26</v>
      </c>
      <c r="F389" s="3">
        <f t="shared" si="14"/>
        <v>0.22320198059079743</v>
      </c>
      <c r="G389" s="3">
        <f t="shared" si="15"/>
        <v>4.9819124139654711E-2</v>
      </c>
    </row>
    <row r="390" spans="1:7" x14ac:dyDescent="0.35">
      <c r="B390" s="12"/>
      <c r="C390" t="s">
        <v>20</v>
      </c>
      <c r="D390" s="6">
        <v>24.850339889526399</v>
      </c>
      <c r="E390">
        <v>25.77</v>
      </c>
      <c r="F390" s="3">
        <f t="shared" si="14"/>
        <v>-0.91966011047360041</v>
      </c>
      <c r="G390" s="3">
        <f t="shared" si="15"/>
        <v>0.84577471879631494</v>
      </c>
    </row>
    <row r="391" spans="1:7" x14ac:dyDescent="0.35">
      <c r="B391" s="12"/>
      <c r="C391" t="s">
        <v>21</v>
      </c>
      <c r="D391" s="6">
        <v>23.983903884887699</v>
      </c>
      <c r="E391">
        <v>25.12</v>
      </c>
      <c r="F391" s="3">
        <f t="shared" si="14"/>
        <v>-1.1360961151123021</v>
      </c>
      <c r="G391" s="3">
        <f t="shared" si="15"/>
        <v>1.2907143827732652</v>
      </c>
    </row>
    <row r="392" spans="1:7" x14ac:dyDescent="0.35">
      <c r="B392" s="12"/>
      <c r="C392" t="s">
        <v>23</v>
      </c>
      <c r="D392" s="6">
        <v>32.014503479003899</v>
      </c>
      <c r="E392">
        <v>35.46</v>
      </c>
      <c r="F392" s="3">
        <f t="shared" si="14"/>
        <v>-3.4454965209961017</v>
      </c>
      <c r="G392" s="3">
        <f t="shared" si="15"/>
        <v>11.87144627619624</v>
      </c>
    </row>
    <row r="393" spans="1:7" x14ac:dyDescent="0.35">
      <c r="A393" s="1"/>
      <c r="B393" s="12"/>
      <c r="C393" t="s">
        <v>24</v>
      </c>
      <c r="D393" s="6">
        <v>21.5687770843506</v>
      </c>
      <c r="E393">
        <v>26.22</v>
      </c>
      <c r="F393" s="3">
        <f t="shared" si="14"/>
        <v>-4.6512229156493987</v>
      </c>
      <c r="G393" s="3">
        <f t="shared" si="15"/>
        <v>21.633874611062094</v>
      </c>
    </row>
    <row r="394" spans="1:7" x14ac:dyDescent="0.35">
      <c r="A394">
        <v>29</v>
      </c>
      <c r="B394" s="7" t="s">
        <v>58</v>
      </c>
      <c r="C394" t="s">
        <v>25</v>
      </c>
      <c r="D394" s="6">
        <v>5.27545166015625</v>
      </c>
      <c r="E394">
        <v>6.01</v>
      </c>
      <c r="F394" s="3">
        <f t="shared" si="14"/>
        <v>-0.73454833984374979</v>
      </c>
      <c r="G394" s="3">
        <f t="shared" si="15"/>
        <v>0.5395612635672089</v>
      </c>
    </row>
    <row r="395" spans="1:7" x14ac:dyDescent="0.35">
      <c r="B395" s="12" t="s">
        <v>59</v>
      </c>
      <c r="C395" t="s">
        <v>11</v>
      </c>
      <c r="D395" s="6">
        <v>7.6003174781799299</v>
      </c>
      <c r="E395">
        <v>8.85</v>
      </c>
      <c r="F395" s="3">
        <f t="shared" si="14"/>
        <v>-1.2496825218200698</v>
      </c>
      <c r="G395" s="3">
        <f t="shared" si="15"/>
        <v>1.5617064053425691</v>
      </c>
    </row>
    <row r="396" spans="1:7" x14ac:dyDescent="0.35">
      <c r="B396" s="12"/>
      <c r="C396" t="s">
        <v>13</v>
      </c>
      <c r="D396" s="6">
        <v>8.3906126022338903</v>
      </c>
      <c r="E396">
        <v>11.08</v>
      </c>
      <c r="F396" s="3">
        <f t="shared" si="14"/>
        <v>-2.6893873977661098</v>
      </c>
      <c r="G396" s="3">
        <f t="shared" si="15"/>
        <v>7.2328045752631676</v>
      </c>
    </row>
    <row r="397" spans="1:7" x14ac:dyDescent="0.35">
      <c r="B397" s="12"/>
      <c r="C397" t="s">
        <v>14</v>
      </c>
      <c r="D397" s="6">
        <v>2.2102460861206099</v>
      </c>
      <c r="E397">
        <v>3.6799999999999997</v>
      </c>
      <c r="F397" s="3">
        <f t="shared" si="14"/>
        <v>-1.4697539138793898</v>
      </c>
      <c r="G397" s="3">
        <f t="shared" si="15"/>
        <v>2.1601765673637847</v>
      </c>
    </row>
    <row r="398" spans="1:7" x14ac:dyDescent="0.35">
      <c r="A398">
        <v>30</v>
      </c>
      <c r="B398" s="12"/>
      <c r="C398" t="s">
        <v>16</v>
      </c>
      <c r="D398" s="6">
        <v>3.0287299156189</v>
      </c>
      <c r="E398">
        <v>4.78</v>
      </c>
      <c r="F398" s="3">
        <f t="shared" si="14"/>
        <v>-1.7512700843811002</v>
      </c>
      <c r="G398" s="3">
        <f t="shared" si="15"/>
        <v>3.0669469084481857</v>
      </c>
    </row>
    <row r="399" spans="1:7" x14ac:dyDescent="0.35">
      <c r="B399" s="12"/>
      <c r="C399" t="s">
        <v>17</v>
      </c>
      <c r="D399" s="6">
        <v>1.9080952405929601</v>
      </c>
      <c r="E399">
        <v>2.8200000000000003</v>
      </c>
      <c r="F399" s="3">
        <f t="shared" si="14"/>
        <v>-0.91190475940704019</v>
      </c>
      <c r="G399" s="3">
        <f t="shared" si="15"/>
        <v>0.83157029022921181</v>
      </c>
    </row>
    <row r="400" spans="1:7" x14ac:dyDescent="0.35">
      <c r="B400" s="12"/>
      <c r="C400" t="s">
        <v>19</v>
      </c>
      <c r="D400" s="6">
        <v>9.4513435363769496</v>
      </c>
      <c r="E400">
        <v>12.15</v>
      </c>
      <c r="F400" s="3">
        <f t="shared" si="14"/>
        <v>-2.6986564636230508</v>
      </c>
      <c r="G400" s="3">
        <f t="shared" si="15"/>
        <v>7.2827467086544706</v>
      </c>
    </row>
    <row r="401" spans="1:7" x14ac:dyDescent="0.35">
      <c r="B401" s="12"/>
      <c r="C401" t="s">
        <v>20</v>
      </c>
      <c r="D401" s="6">
        <v>5.0286531448364302</v>
      </c>
      <c r="E401">
        <v>7.3599999999999994</v>
      </c>
      <c r="F401" s="3">
        <f t="shared" si="14"/>
        <v>-2.3313468551635692</v>
      </c>
      <c r="G401" s="3">
        <f t="shared" si="15"/>
        <v>5.4351781590810644</v>
      </c>
    </row>
    <row r="402" spans="1:7" x14ac:dyDescent="0.35">
      <c r="B402" s="12"/>
      <c r="C402" t="s">
        <v>21</v>
      </c>
      <c r="D402" s="6">
        <v>4.2818312644958496</v>
      </c>
      <c r="E402">
        <v>5.3800000000000008</v>
      </c>
      <c r="F402" s="3">
        <f t="shared" si="14"/>
        <v>-1.0981687355041512</v>
      </c>
      <c r="G402" s="3">
        <f t="shared" si="15"/>
        <v>1.2059745716387864</v>
      </c>
    </row>
    <row r="403" spans="1:7" x14ac:dyDescent="0.35">
      <c r="B403" s="12"/>
      <c r="C403" t="s">
        <v>22</v>
      </c>
      <c r="D403" s="6">
        <v>3.67012643814087</v>
      </c>
      <c r="E403">
        <v>4.3899999999999997</v>
      </c>
      <c r="F403" s="3">
        <f t="shared" si="14"/>
        <v>-0.71987356185912965</v>
      </c>
      <c r="G403" s="3">
        <f t="shared" si="15"/>
        <v>0.51821794506375018</v>
      </c>
    </row>
    <row r="404" spans="1:7" x14ac:dyDescent="0.35">
      <c r="B404" s="12"/>
      <c r="C404" t="s">
        <v>23</v>
      </c>
      <c r="D404" s="6">
        <v>3.3223969936370898</v>
      </c>
      <c r="E404">
        <v>4.45</v>
      </c>
      <c r="F404" s="3">
        <f t="shared" si="14"/>
        <v>-1.1276030063629103</v>
      </c>
      <c r="G404" s="3">
        <f t="shared" si="15"/>
        <v>1.2714885399586735</v>
      </c>
    </row>
    <row r="405" spans="1:7" x14ac:dyDescent="0.35">
      <c r="B405" s="12"/>
      <c r="C405" t="s">
        <v>24</v>
      </c>
      <c r="D405" s="6">
        <v>3.10292649269104</v>
      </c>
      <c r="E405">
        <v>5.03</v>
      </c>
      <c r="F405" s="3">
        <f t="shared" si="14"/>
        <v>-1.9270735073089602</v>
      </c>
      <c r="G405" s="3">
        <f t="shared" si="15"/>
        <v>3.7136123025720571</v>
      </c>
    </row>
    <row r="406" spans="1:7" x14ac:dyDescent="0.35">
      <c r="A406" s="1"/>
      <c r="B406" s="12"/>
      <c r="C406" t="s">
        <v>25</v>
      </c>
      <c r="D406" s="6">
        <v>14.829709053039601</v>
      </c>
      <c r="E406">
        <v>16.64</v>
      </c>
      <c r="F406" s="3">
        <f t="shared" si="14"/>
        <v>-1.8102909469604</v>
      </c>
      <c r="G406" s="3">
        <f t="shared" si="15"/>
        <v>3.277153312646782</v>
      </c>
    </row>
    <row r="407" spans="1:7" x14ac:dyDescent="0.35">
      <c r="B407" s="12" t="s">
        <v>60</v>
      </c>
      <c r="C407" t="s">
        <v>11</v>
      </c>
      <c r="D407" s="6">
        <v>3.1085188388824498</v>
      </c>
      <c r="E407">
        <v>4.6400000000000006</v>
      </c>
      <c r="F407" s="3">
        <f t="shared" si="14"/>
        <v>-1.5314811611175507</v>
      </c>
      <c r="G407" s="3">
        <f t="shared" si="15"/>
        <v>2.3454345468579612</v>
      </c>
    </row>
    <row r="408" spans="1:7" x14ac:dyDescent="0.35">
      <c r="B408" s="12"/>
      <c r="C408" t="s">
        <v>13</v>
      </c>
      <c r="D408" s="6">
        <v>2.1134305000305198</v>
      </c>
      <c r="E408">
        <v>3.42</v>
      </c>
      <c r="F408" s="3">
        <f t="shared" si="14"/>
        <v>-1.3065694999694801</v>
      </c>
      <c r="G408" s="3">
        <f t="shared" si="15"/>
        <v>1.7071238582504973</v>
      </c>
    </row>
    <row r="409" spans="1:7" x14ac:dyDescent="0.35">
      <c r="B409" s="12"/>
      <c r="C409" t="s">
        <v>14</v>
      </c>
      <c r="D409" s="6">
        <v>2.91533327102661</v>
      </c>
      <c r="E409">
        <v>3.9099999999999997</v>
      </c>
      <c r="F409" s="3">
        <f t="shared" si="14"/>
        <v>-0.9946667289733897</v>
      </c>
      <c r="G409" s="3">
        <f t="shared" si="15"/>
        <v>0.98936190172662264</v>
      </c>
    </row>
    <row r="410" spans="1:7" x14ac:dyDescent="0.35">
      <c r="B410" s="12"/>
      <c r="C410" t="s">
        <v>16</v>
      </c>
      <c r="D410" s="6">
        <v>3.4605119228363002</v>
      </c>
      <c r="E410">
        <v>4.9000000000000004</v>
      </c>
      <c r="F410" s="3">
        <f t="shared" si="14"/>
        <v>-1.4394880771637002</v>
      </c>
      <c r="G410" s="3">
        <f t="shared" si="15"/>
        <v>2.0721259242964467</v>
      </c>
    </row>
    <row r="411" spans="1:7" x14ac:dyDescent="0.35">
      <c r="A411">
        <v>31</v>
      </c>
      <c r="B411" s="12"/>
      <c r="C411" t="s">
        <v>17</v>
      </c>
      <c r="D411" s="6">
        <v>2.1765878200531001</v>
      </c>
      <c r="E411">
        <v>2.69</v>
      </c>
      <c r="F411" s="3">
        <f t="shared" si="14"/>
        <v>-0.5134121799468998</v>
      </c>
      <c r="G411" s="3">
        <f t="shared" si="15"/>
        <v>0.26359206651782785</v>
      </c>
    </row>
    <row r="412" spans="1:7" x14ac:dyDescent="0.35">
      <c r="B412" s="12"/>
      <c r="C412" t="s">
        <v>19</v>
      </c>
      <c r="D412" s="6">
        <v>2.5710477828979501</v>
      </c>
      <c r="E412">
        <v>4.12</v>
      </c>
      <c r="F412" s="3">
        <f t="shared" si="14"/>
        <v>-1.54895221710205</v>
      </c>
      <c r="G412" s="3">
        <f t="shared" si="15"/>
        <v>2.3992529708653563</v>
      </c>
    </row>
    <row r="413" spans="1:7" x14ac:dyDescent="0.35">
      <c r="B413" s="12"/>
      <c r="C413" t="s">
        <v>20</v>
      </c>
      <c r="D413" s="6">
        <v>5.1613750457763699</v>
      </c>
      <c r="E413">
        <v>5.08</v>
      </c>
      <c r="F413" s="3">
        <f t="shared" si="14"/>
        <v>8.1375045776369781E-2</v>
      </c>
      <c r="G413" s="3">
        <f t="shared" si="15"/>
        <v>6.6218980751062773E-3</v>
      </c>
    </row>
    <row r="414" spans="1:7" x14ac:dyDescent="0.35">
      <c r="B414" s="12"/>
      <c r="C414" t="s">
        <v>21</v>
      </c>
      <c r="D414" s="6">
        <v>3.32182836532593</v>
      </c>
      <c r="E414">
        <v>4.2300000000000004</v>
      </c>
      <c r="F414" s="3">
        <f t="shared" si="14"/>
        <v>-0.90817163467407047</v>
      </c>
      <c r="G414" s="3">
        <f t="shared" si="15"/>
        <v>0.82477571802657335</v>
      </c>
    </row>
    <row r="415" spans="1:7" x14ac:dyDescent="0.35">
      <c r="B415" s="12"/>
      <c r="C415" t="s">
        <v>22</v>
      </c>
      <c r="D415" s="6">
        <v>3.9009268283843999</v>
      </c>
      <c r="E415">
        <v>4.3600000000000003</v>
      </c>
      <c r="F415" s="3">
        <f t="shared" si="14"/>
        <v>-0.45907317161560046</v>
      </c>
      <c r="G415" s="3">
        <f t="shared" si="15"/>
        <v>0.21074817689720654</v>
      </c>
    </row>
    <row r="416" spans="1:7" x14ac:dyDescent="0.35">
      <c r="B416" s="12"/>
      <c r="C416" t="s">
        <v>23</v>
      </c>
      <c r="D416" s="6">
        <v>2.53601145744324</v>
      </c>
      <c r="E416">
        <v>3.79</v>
      </c>
      <c r="F416" s="3">
        <f t="shared" si="14"/>
        <v>-1.2539885425567601</v>
      </c>
      <c r="G416" s="3">
        <f t="shared" si="15"/>
        <v>1.5724872648636272</v>
      </c>
    </row>
    <row r="417" spans="1:7" x14ac:dyDescent="0.35">
      <c r="B417" s="12"/>
      <c r="C417" t="s">
        <v>24</v>
      </c>
      <c r="D417" s="6">
        <v>2.25711274147034</v>
      </c>
      <c r="E417">
        <v>2.4499999999999997</v>
      </c>
      <c r="F417" s="3">
        <f t="shared" si="14"/>
        <v>-0.19288725852965971</v>
      </c>
      <c r="G417" s="3">
        <f t="shared" si="15"/>
        <v>3.7205494503087785E-2</v>
      </c>
    </row>
    <row r="418" spans="1:7" x14ac:dyDescent="0.35">
      <c r="A418" s="1"/>
      <c r="B418" s="12"/>
      <c r="C418" t="s">
        <v>25</v>
      </c>
      <c r="D418" s="6">
        <v>8.5909538269043004</v>
      </c>
      <c r="E418">
        <v>8.66</v>
      </c>
      <c r="F418" s="3">
        <f t="shared" si="14"/>
        <v>-6.9046173095699714E-2</v>
      </c>
      <c r="G418" s="3">
        <f t="shared" si="15"/>
        <v>4.7673740191613275E-3</v>
      </c>
    </row>
  </sheetData>
  <autoFilter ref="A1:I418" xr:uid="{EB125D97-1C5A-4121-8296-AE0EAF07CEEA}"/>
  <mergeCells count="26">
    <mergeCell ref="B395:B406"/>
    <mergeCell ref="B407:B418"/>
    <mergeCell ref="B274:B282"/>
    <mergeCell ref="B283:B297"/>
    <mergeCell ref="B298:B312"/>
    <mergeCell ref="B358:B371"/>
    <mergeCell ref="B372:B383"/>
    <mergeCell ref="B384:B393"/>
    <mergeCell ref="B259:B273"/>
    <mergeCell ref="B84:B99"/>
    <mergeCell ref="B100:B115"/>
    <mergeCell ref="B116:B131"/>
    <mergeCell ref="B132:B147"/>
    <mergeCell ref="B148:B153"/>
    <mergeCell ref="B154:B169"/>
    <mergeCell ref="B170:B181"/>
    <mergeCell ref="B198:B213"/>
    <mergeCell ref="B214:B228"/>
    <mergeCell ref="B229:B243"/>
    <mergeCell ref="B244:B258"/>
    <mergeCell ref="B71:B83"/>
    <mergeCell ref="B2:B13"/>
    <mergeCell ref="B14:B29"/>
    <mergeCell ref="B30:B38"/>
    <mergeCell ref="B39:B54"/>
    <mergeCell ref="B55:B7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FE2FF-A219-4285-9973-242ACF0A2936}">
  <dimension ref="A1:C418"/>
  <sheetViews>
    <sheetView topLeftCell="A3" zoomScale="80" zoomScaleNormal="80" workbookViewId="0">
      <selection activeCell="S16" sqref="S16"/>
    </sheetView>
  </sheetViews>
  <sheetFormatPr defaultRowHeight="14.5" x14ac:dyDescent="0.35"/>
  <sheetData>
    <row r="1" spans="1:3" x14ac:dyDescent="0.35">
      <c r="A1" t="s">
        <v>61</v>
      </c>
      <c r="B1" t="s">
        <v>2</v>
      </c>
      <c r="C1" t="s">
        <v>3</v>
      </c>
    </row>
    <row r="2" spans="1:3" x14ac:dyDescent="0.35">
      <c r="A2" t="s">
        <v>16</v>
      </c>
      <c r="B2">
        <v>1.7747837305069001</v>
      </c>
      <c r="C2">
        <v>3.57</v>
      </c>
    </row>
    <row r="3" spans="1:3" x14ac:dyDescent="0.35">
      <c r="A3" t="s">
        <v>16</v>
      </c>
      <c r="B3">
        <v>1.7643300294876101</v>
      </c>
      <c r="C3">
        <v>2.16</v>
      </c>
    </row>
    <row r="4" spans="1:3" x14ac:dyDescent="0.35">
      <c r="A4" t="s">
        <v>16</v>
      </c>
      <c r="B4">
        <v>2.4502096176147501</v>
      </c>
      <c r="C4">
        <v>1.95</v>
      </c>
    </row>
    <row r="5" spans="1:3" x14ac:dyDescent="0.35">
      <c r="A5" t="s">
        <v>16</v>
      </c>
      <c r="B5">
        <v>4.3228030204773003</v>
      </c>
      <c r="C5">
        <v>1.96</v>
      </c>
    </row>
    <row r="6" spans="1:3" x14ac:dyDescent="0.35">
      <c r="A6" t="s">
        <v>16</v>
      </c>
      <c r="B6">
        <v>2.9533932209014901</v>
      </c>
      <c r="C6">
        <v>2.09</v>
      </c>
    </row>
    <row r="7" spans="1:3" x14ac:dyDescent="0.35">
      <c r="A7" t="s">
        <v>16</v>
      </c>
      <c r="B7">
        <v>6.9931397438049299</v>
      </c>
      <c r="C7">
        <v>2.09</v>
      </c>
    </row>
    <row r="8" spans="1:3" x14ac:dyDescent="0.35">
      <c r="A8" t="s">
        <v>16</v>
      </c>
      <c r="B8">
        <v>7.6360449790954599</v>
      </c>
      <c r="C8">
        <v>4.4800000000000004</v>
      </c>
    </row>
    <row r="9" spans="1:3" x14ac:dyDescent="0.35">
      <c r="A9" t="s">
        <v>16</v>
      </c>
      <c r="B9">
        <v>1.2978254556655899</v>
      </c>
      <c r="C9">
        <v>2.4900000000000002</v>
      </c>
    </row>
    <row r="10" spans="1:3" x14ac:dyDescent="0.35">
      <c r="A10" t="s">
        <v>16</v>
      </c>
      <c r="B10">
        <v>6.4694113731384304</v>
      </c>
      <c r="C10">
        <v>2.58</v>
      </c>
    </row>
    <row r="11" spans="1:3" x14ac:dyDescent="0.35">
      <c r="A11" t="s">
        <v>16</v>
      </c>
      <c r="B11">
        <v>2.4952099323272701</v>
      </c>
      <c r="C11">
        <v>3.42</v>
      </c>
    </row>
    <row r="12" spans="1:3" x14ac:dyDescent="0.35">
      <c r="A12" t="s">
        <v>16</v>
      </c>
      <c r="B12">
        <v>2.3596179485321001</v>
      </c>
      <c r="C12">
        <v>3.01</v>
      </c>
    </row>
    <row r="13" spans="1:3" x14ac:dyDescent="0.35">
      <c r="A13" t="s">
        <v>16</v>
      </c>
      <c r="B13">
        <v>3.5841221809387198</v>
      </c>
      <c r="C13">
        <v>3.5</v>
      </c>
    </row>
    <row r="14" spans="1:3" x14ac:dyDescent="0.35">
      <c r="A14" t="s">
        <v>16</v>
      </c>
      <c r="B14">
        <v>5.1694192886352504</v>
      </c>
      <c r="C14">
        <v>4.05</v>
      </c>
    </row>
    <row r="15" spans="1:3" x14ac:dyDescent="0.35">
      <c r="A15" t="s">
        <v>16</v>
      </c>
      <c r="B15">
        <v>3.6750211715698198</v>
      </c>
      <c r="C15">
        <v>3.5999999999999996</v>
      </c>
    </row>
    <row r="16" spans="1:3" x14ac:dyDescent="0.35">
      <c r="A16" t="s">
        <v>16</v>
      </c>
      <c r="B16">
        <v>9.7127122879028303</v>
      </c>
      <c r="C16">
        <v>7.65</v>
      </c>
    </row>
    <row r="17" spans="1:3" x14ac:dyDescent="0.35">
      <c r="A17" t="s">
        <v>16</v>
      </c>
      <c r="B17">
        <v>5.5770568847656303</v>
      </c>
      <c r="C17">
        <v>5.3199999999999994</v>
      </c>
    </row>
    <row r="18" spans="1:3" x14ac:dyDescent="0.35">
      <c r="A18" t="s">
        <v>16</v>
      </c>
      <c r="B18">
        <v>14.760377883911101</v>
      </c>
      <c r="C18">
        <v>16.5</v>
      </c>
    </row>
    <row r="19" spans="1:3" x14ac:dyDescent="0.35">
      <c r="A19" t="s">
        <v>16</v>
      </c>
      <c r="B19">
        <v>8.9884366989135707</v>
      </c>
      <c r="C19">
        <v>11.28</v>
      </c>
    </row>
    <row r="20" spans="1:3" x14ac:dyDescent="0.35">
      <c r="A20" t="s">
        <v>16</v>
      </c>
      <c r="B20">
        <v>17.894950866699201</v>
      </c>
      <c r="C20">
        <v>19.41</v>
      </c>
    </row>
    <row r="21" spans="1:3" x14ac:dyDescent="0.35">
      <c r="A21" t="s">
        <v>16</v>
      </c>
      <c r="B21">
        <v>34.691097259521499</v>
      </c>
      <c r="C21">
        <v>35.840000000000003</v>
      </c>
    </row>
    <row r="22" spans="1:3" x14ac:dyDescent="0.35">
      <c r="A22" t="s">
        <v>16</v>
      </c>
      <c r="B22">
        <v>12.0711402893066</v>
      </c>
      <c r="C22">
        <v>12.29</v>
      </c>
    </row>
    <row r="23" spans="1:3" x14ac:dyDescent="0.35">
      <c r="A23" t="s">
        <v>16</v>
      </c>
      <c r="B23">
        <v>5.5747094154357901</v>
      </c>
      <c r="C23">
        <v>4.01</v>
      </c>
    </row>
    <row r="24" spans="1:3" x14ac:dyDescent="0.35">
      <c r="A24" t="s">
        <v>16</v>
      </c>
      <c r="B24">
        <v>5.5777354240417498</v>
      </c>
      <c r="C24">
        <v>8.77</v>
      </c>
    </row>
    <row r="25" spans="1:3" x14ac:dyDescent="0.35">
      <c r="A25" t="s">
        <v>16</v>
      </c>
      <c r="B25">
        <v>5.5777354240417498</v>
      </c>
      <c r="C25">
        <v>6.21</v>
      </c>
    </row>
    <row r="26" spans="1:3" x14ac:dyDescent="0.35">
      <c r="A26" t="s">
        <v>16</v>
      </c>
      <c r="B26">
        <v>17.406356811523398</v>
      </c>
      <c r="C26">
        <v>16.690000000000001</v>
      </c>
    </row>
    <row r="27" spans="1:3" x14ac:dyDescent="0.35">
      <c r="A27" t="s">
        <v>16</v>
      </c>
      <c r="B27">
        <v>28.687623977661101</v>
      </c>
      <c r="C27">
        <v>32.159999999999997</v>
      </c>
    </row>
    <row r="28" spans="1:3" x14ac:dyDescent="0.35">
      <c r="A28" t="s">
        <v>16</v>
      </c>
      <c r="B28">
        <v>3.0287299156189</v>
      </c>
      <c r="C28">
        <v>4.78</v>
      </c>
    </row>
    <row r="29" spans="1:3" x14ac:dyDescent="0.35">
      <c r="A29" t="s">
        <v>16</v>
      </c>
      <c r="B29">
        <v>3.4605119228363002</v>
      </c>
      <c r="C29">
        <v>4.9000000000000004</v>
      </c>
    </row>
    <row r="30" spans="1:3" x14ac:dyDescent="0.35">
      <c r="A30" t="s">
        <v>28</v>
      </c>
      <c r="B30">
        <v>1.0305161476135301</v>
      </c>
      <c r="C30">
        <v>1.89</v>
      </c>
    </row>
    <row r="31" spans="1:3" x14ac:dyDescent="0.35">
      <c r="A31" t="s">
        <v>28</v>
      </c>
      <c r="B31">
        <v>0.384113729000092</v>
      </c>
      <c r="C31">
        <v>1.66</v>
      </c>
    </row>
    <row r="32" spans="1:3" x14ac:dyDescent="0.35">
      <c r="A32" t="s">
        <v>28</v>
      </c>
      <c r="B32">
        <v>1.92495560646057</v>
      </c>
      <c r="C32">
        <v>1.81</v>
      </c>
    </row>
    <row r="33" spans="1:3" x14ac:dyDescent="0.35">
      <c r="A33" t="s">
        <v>28</v>
      </c>
      <c r="B33">
        <v>6.36513328552246</v>
      </c>
      <c r="C33">
        <v>1.79</v>
      </c>
    </row>
    <row r="34" spans="1:3" x14ac:dyDescent="0.35">
      <c r="A34" t="s">
        <v>28</v>
      </c>
      <c r="B34">
        <v>6.6704859733581499</v>
      </c>
      <c r="C34">
        <v>3.1</v>
      </c>
    </row>
    <row r="35" spans="1:3" x14ac:dyDescent="0.35">
      <c r="A35" t="s">
        <v>28</v>
      </c>
      <c r="B35">
        <v>0.84762668609619096</v>
      </c>
      <c r="C35">
        <v>1.56</v>
      </c>
    </row>
    <row r="36" spans="1:3" x14ac:dyDescent="0.35">
      <c r="A36" t="s">
        <v>28</v>
      </c>
      <c r="B36">
        <v>2.9149236679077202</v>
      </c>
      <c r="C36">
        <v>1.59</v>
      </c>
    </row>
    <row r="37" spans="1:3" x14ac:dyDescent="0.35">
      <c r="A37" t="s">
        <v>28</v>
      </c>
      <c r="B37">
        <v>1.35436511039734</v>
      </c>
      <c r="C37">
        <v>1.46</v>
      </c>
    </row>
    <row r="38" spans="1:3" x14ac:dyDescent="0.35">
      <c r="A38" t="s">
        <v>28</v>
      </c>
      <c r="B38">
        <v>1.3260631561279299</v>
      </c>
      <c r="C38">
        <v>1.33</v>
      </c>
    </row>
    <row r="39" spans="1:3" x14ac:dyDescent="0.35">
      <c r="A39" t="s">
        <v>28</v>
      </c>
      <c r="B39">
        <v>3.68542551994324</v>
      </c>
      <c r="C39">
        <v>1.91</v>
      </c>
    </row>
    <row r="40" spans="1:3" x14ac:dyDescent="0.35">
      <c r="A40" t="s">
        <v>28</v>
      </c>
      <c r="B40">
        <v>1.3462396860122701</v>
      </c>
      <c r="C40">
        <v>1.3299999999999998</v>
      </c>
    </row>
    <row r="41" spans="1:3" x14ac:dyDescent="0.35">
      <c r="A41" t="s">
        <v>28</v>
      </c>
      <c r="B41">
        <v>1.3738472461700399</v>
      </c>
      <c r="C41">
        <v>1.51</v>
      </c>
    </row>
    <row r="42" spans="1:3" x14ac:dyDescent="0.35">
      <c r="A42" t="s">
        <v>28</v>
      </c>
      <c r="B42">
        <v>10.230510711669901</v>
      </c>
      <c r="C42">
        <v>6.7</v>
      </c>
    </row>
    <row r="43" spans="1:3" x14ac:dyDescent="0.35">
      <c r="A43" t="s">
        <v>28</v>
      </c>
      <c r="B43">
        <v>19.193195343017599</v>
      </c>
      <c r="C43">
        <v>17.399999999999999</v>
      </c>
    </row>
    <row r="44" spans="1:3" x14ac:dyDescent="0.35">
      <c r="A44" t="s">
        <v>28</v>
      </c>
      <c r="B44">
        <v>10.0575723648071</v>
      </c>
      <c r="C44">
        <v>6.58</v>
      </c>
    </row>
    <row r="45" spans="1:3" x14ac:dyDescent="0.35">
      <c r="A45" t="s">
        <v>28</v>
      </c>
      <c r="B45">
        <v>1.4219319820404099</v>
      </c>
      <c r="C45">
        <v>2.19</v>
      </c>
    </row>
    <row r="46" spans="1:3" x14ac:dyDescent="0.35">
      <c r="A46" t="s">
        <v>28</v>
      </c>
      <c r="B46">
        <v>1.4219366312027</v>
      </c>
      <c r="C46">
        <v>1.58</v>
      </c>
    </row>
    <row r="47" spans="1:3" x14ac:dyDescent="0.35">
      <c r="A47" t="s">
        <v>28</v>
      </c>
      <c r="B47">
        <v>1.4219366312027</v>
      </c>
      <c r="C47">
        <v>1.5299999999999998</v>
      </c>
    </row>
    <row r="48" spans="1:3" x14ac:dyDescent="0.35">
      <c r="A48" t="s">
        <v>11</v>
      </c>
      <c r="B48">
        <v>1.7448360919952399</v>
      </c>
      <c r="C48">
        <v>3.7</v>
      </c>
    </row>
    <row r="49" spans="1:3" x14ac:dyDescent="0.35">
      <c r="A49" t="s">
        <v>11</v>
      </c>
      <c r="B49">
        <v>1.74316370487213</v>
      </c>
      <c r="C49">
        <v>2.16</v>
      </c>
    </row>
    <row r="50" spans="1:3" x14ac:dyDescent="0.35">
      <c r="A50" t="s">
        <v>11</v>
      </c>
      <c r="B50">
        <v>5.3458561897277797</v>
      </c>
      <c r="C50">
        <v>2.64</v>
      </c>
    </row>
    <row r="51" spans="1:3" x14ac:dyDescent="0.35">
      <c r="A51" t="s">
        <v>11</v>
      </c>
      <c r="B51">
        <v>3.7474431991577202</v>
      </c>
      <c r="C51">
        <v>3.2</v>
      </c>
    </row>
    <row r="52" spans="1:3" x14ac:dyDescent="0.35">
      <c r="A52" t="s">
        <v>11</v>
      </c>
      <c r="B52">
        <v>7.52278709411621</v>
      </c>
      <c r="C52">
        <v>6.01</v>
      </c>
    </row>
    <row r="53" spans="1:3" x14ac:dyDescent="0.35">
      <c r="A53" t="s">
        <v>11</v>
      </c>
      <c r="B53">
        <v>2.1431634426116899</v>
      </c>
      <c r="C53">
        <v>2.83</v>
      </c>
    </row>
    <row r="54" spans="1:3" x14ac:dyDescent="0.35">
      <c r="A54" t="s">
        <v>11</v>
      </c>
      <c r="B54">
        <v>7.5633044242858896</v>
      </c>
      <c r="C54">
        <v>4.95</v>
      </c>
    </row>
    <row r="55" spans="1:3" x14ac:dyDescent="0.35">
      <c r="A55" t="s">
        <v>11</v>
      </c>
      <c r="B55">
        <v>2.3384270668029798</v>
      </c>
      <c r="C55">
        <v>3.4299999999999997</v>
      </c>
    </row>
    <row r="56" spans="1:3" x14ac:dyDescent="0.35">
      <c r="A56" t="s">
        <v>11</v>
      </c>
      <c r="B56">
        <v>2.2785804271697998</v>
      </c>
      <c r="C56">
        <v>3.2199999999999998</v>
      </c>
    </row>
    <row r="57" spans="1:3" x14ac:dyDescent="0.35">
      <c r="A57" t="s">
        <v>11</v>
      </c>
      <c r="B57">
        <v>3.0304300785064702</v>
      </c>
      <c r="C57">
        <v>3.64</v>
      </c>
    </row>
    <row r="58" spans="1:3" x14ac:dyDescent="0.35">
      <c r="A58" t="s">
        <v>11</v>
      </c>
      <c r="B58">
        <v>5.4484338760376003</v>
      </c>
      <c r="C58">
        <v>5.28</v>
      </c>
    </row>
    <row r="59" spans="1:3" x14ac:dyDescent="0.35">
      <c r="A59" t="s">
        <v>11</v>
      </c>
      <c r="B59">
        <v>3.1025092601776101</v>
      </c>
      <c r="C59">
        <v>3.59</v>
      </c>
    </row>
    <row r="60" spans="1:3" x14ac:dyDescent="0.35">
      <c r="A60" t="s">
        <v>11</v>
      </c>
      <c r="B60">
        <v>8.5261201858520508</v>
      </c>
      <c r="C60">
        <v>5.26</v>
      </c>
    </row>
    <row r="61" spans="1:3" x14ac:dyDescent="0.35">
      <c r="A61" t="s">
        <v>11</v>
      </c>
      <c r="B61">
        <v>4.5187416076660201</v>
      </c>
      <c r="C61">
        <v>4.55</v>
      </c>
    </row>
    <row r="62" spans="1:3" x14ac:dyDescent="0.35">
      <c r="A62" t="s">
        <v>11</v>
      </c>
      <c r="B62">
        <v>12.7478532791138</v>
      </c>
      <c r="C62">
        <v>12.58</v>
      </c>
    </row>
    <row r="63" spans="1:3" x14ac:dyDescent="0.35">
      <c r="A63" t="s">
        <v>11</v>
      </c>
      <c r="B63">
        <v>22.960983276367202</v>
      </c>
      <c r="C63">
        <v>23.11</v>
      </c>
    </row>
    <row r="64" spans="1:3" x14ac:dyDescent="0.35">
      <c r="A64" t="s">
        <v>11</v>
      </c>
      <c r="B64">
        <v>14.9496564865112</v>
      </c>
      <c r="C64">
        <v>17.79</v>
      </c>
    </row>
    <row r="65" spans="1:3" x14ac:dyDescent="0.35">
      <c r="A65" t="s">
        <v>11</v>
      </c>
      <c r="B65">
        <v>34.016136169433601</v>
      </c>
      <c r="C65">
        <v>36.89</v>
      </c>
    </row>
    <row r="66" spans="1:3" x14ac:dyDescent="0.35">
      <c r="A66" t="s">
        <v>11</v>
      </c>
      <c r="B66">
        <v>11.529076576232899</v>
      </c>
      <c r="C66">
        <v>8.6199999999999992</v>
      </c>
    </row>
    <row r="67" spans="1:3" x14ac:dyDescent="0.35">
      <c r="A67" t="s">
        <v>11</v>
      </c>
      <c r="B67">
        <v>4.5333824157714799</v>
      </c>
      <c r="C67">
        <v>5.93</v>
      </c>
    </row>
    <row r="68" spans="1:3" x14ac:dyDescent="0.35">
      <c r="A68" t="s">
        <v>11</v>
      </c>
      <c r="B68">
        <v>4.5196471214294398</v>
      </c>
      <c r="C68">
        <v>6.63</v>
      </c>
    </row>
    <row r="69" spans="1:3" x14ac:dyDescent="0.35">
      <c r="A69" t="s">
        <v>11</v>
      </c>
      <c r="B69">
        <v>13.547269821166999</v>
      </c>
      <c r="C69">
        <v>12.65</v>
      </c>
    </row>
    <row r="70" spans="1:3" x14ac:dyDescent="0.35">
      <c r="A70" t="s">
        <v>11</v>
      </c>
      <c r="B70">
        <v>24.961597442626999</v>
      </c>
      <c r="C70">
        <v>29.25</v>
      </c>
    </row>
    <row r="71" spans="1:3" x14ac:dyDescent="0.35">
      <c r="A71" t="s">
        <v>11</v>
      </c>
      <c r="B71">
        <v>7.6003174781799299</v>
      </c>
      <c r="C71">
        <v>8.85</v>
      </c>
    </row>
    <row r="72" spans="1:3" x14ac:dyDescent="0.35">
      <c r="A72" t="s">
        <v>11</v>
      </c>
      <c r="B72">
        <v>3.1085188388824498</v>
      </c>
      <c r="C72">
        <v>4.6400000000000006</v>
      </c>
    </row>
    <row r="73" spans="1:3" x14ac:dyDescent="0.35">
      <c r="A73" t="s">
        <v>20</v>
      </c>
      <c r="B73">
        <v>1.7548912763595601</v>
      </c>
      <c r="C73">
        <v>3.43</v>
      </c>
    </row>
    <row r="74" spans="1:3" x14ac:dyDescent="0.35">
      <c r="A74" t="s">
        <v>20</v>
      </c>
      <c r="B74">
        <v>1.74072730541229</v>
      </c>
      <c r="C74">
        <v>2</v>
      </c>
    </row>
    <row r="75" spans="1:3" x14ac:dyDescent="0.35">
      <c r="A75" t="s">
        <v>20</v>
      </c>
      <c r="B75">
        <v>2.5323634147643999</v>
      </c>
      <c r="C75">
        <v>1.84</v>
      </c>
    </row>
    <row r="76" spans="1:3" x14ac:dyDescent="0.35">
      <c r="A76" t="s">
        <v>20</v>
      </c>
      <c r="B76">
        <v>4.6066775321960503</v>
      </c>
      <c r="C76">
        <v>1.49</v>
      </c>
    </row>
    <row r="77" spans="1:3" x14ac:dyDescent="0.35">
      <c r="A77" t="s">
        <v>20</v>
      </c>
      <c r="B77">
        <v>3.0372765064239502</v>
      </c>
      <c r="C77">
        <v>1.97</v>
      </c>
    </row>
    <row r="78" spans="1:3" x14ac:dyDescent="0.35">
      <c r="A78" t="s">
        <v>20</v>
      </c>
      <c r="B78">
        <v>7.0073480606079102</v>
      </c>
      <c r="C78">
        <v>1.96</v>
      </c>
    </row>
    <row r="79" spans="1:3" x14ac:dyDescent="0.35">
      <c r="A79" t="s">
        <v>20</v>
      </c>
      <c r="B79">
        <v>7.4367904663085902</v>
      </c>
      <c r="C79">
        <v>5.05</v>
      </c>
    </row>
    <row r="80" spans="1:3" x14ac:dyDescent="0.35">
      <c r="A80" t="s">
        <v>20</v>
      </c>
      <c r="B80">
        <v>1.2796422243118299</v>
      </c>
      <c r="C80">
        <v>2.6</v>
      </c>
    </row>
    <row r="81" spans="1:3" x14ac:dyDescent="0.35">
      <c r="A81" t="s">
        <v>20</v>
      </c>
      <c r="B81">
        <v>6.4352269172668501</v>
      </c>
      <c r="C81">
        <v>4.29</v>
      </c>
    </row>
    <row r="82" spans="1:3" x14ac:dyDescent="0.35">
      <c r="A82" t="s">
        <v>20</v>
      </c>
      <c r="B82">
        <v>2.67950439453125</v>
      </c>
      <c r="C82">
        <v>3.1799999999999997</v>
      </c>
    </row>
    <row r="83" spans="1:3" x14ac:dyDescent="0.35">
      <c r="A83" t="s">
        <v>20</v>
      </c>
      <c r="B83">
        <v>1.4560068845748899</v>
      </c>
      <c r="C83">
        <v>2.41</v>
      </c>
    </row>
    <row r="84" spans="1:3" x14ac:dyDescent="0.35">
      <c r="A84" t="s">
        <v>20</v>
      </c>
      <c r="B84">
        <v>2.4269831180572501</v>
      </c>
      <c r="C84">
        <v>2.82</v>
      </c>
    </row>
    <row r="85" spans="1:3" x14ac:dyDescent="0.35">
      <c r="A85" t="s">
        <v>20</v>
      </c>
      <c r="B85">
        <v>2.6317408084869398</v>
      </c>
      <c r="C85">
        <v>3.08</v>
      </c>
    </row>
    <row r="86" spans="1:3" x14ac:dyDescent="0.35">
      <c r="A86" t="s">
        <v>20</v>
      </c>
      <c r="B86">
        <v>5.1936402320861799</v>
      </c>
      <c r="C86">
        <v>3.37</v>
      </c>
    </row>
    <row r="87" spans="1:3" x14ac:dyDescent="0.35">
      <c r="A87" t="s">
        <v>20</v>
      </c>
      <c r="B87">
        <v>2.7122390270233199</v>
      </c>
      <c r="C87">
        <v>3.13</v>
      </c>
    </row>
    <row r="88" spans="1:3" x14ac:dyDescent="0.35">
      <c r="A88" t="s">
        <v>20</v>
      </c>
      <c r="B88">
        <v>8.3198385238647496</v>
      </c>
      <c r="C88">
        <v>7.13</v>
      </c>
    </row>
    <row r="89" spans="1:3" x14ac:dyDescent="0.35">
      <c r="A89" t="s">
        <v>20</v>
      </c>
      <c r="B89">
        <v>3.5651500225067099</v>
      </c>
      <c r="C89">
        <v>3.58</v>
      </c>
    </row>
    <row r="90" spans="1:3" x14ac:dyDescent="0.35">
      <c r="A90" t="s">
        <v>20</v>
      </c>
      <c r="B90">
        <v>12.2976484298706</v>
      </c>
      <c r="C90">
        <v>12.03</v>
      </c>
    </row>
    <row r="91" spans="1:3" x14ac:dyDescent="0.35">
      <c r="A91" t="s">
        <v>20</v>
      </c>
      <c r="B91">
        <v>22.031641006469702</v>
      </c>
      <c r="C91">
        <v>18.489999999999998</v>
      </c>
    </row>
    <row r="92" spans="1:3" x14ac:dyDescent="0.35">
      <c r="A92" t="s">
        <v>20</v>
      </c>
      <c r="B92">
        <v>5.35428667068481</v>
      </c>
      <c r="C92">
        <v>6.35</v>
      </c>
    </row>
    <row r="93" spans="1:3" x14ac:dyDescent="0.35">
      <c r="A93" t="s">
        <v>20</v>
      </c>
      <c r="B93">
        <v>14.554007530212401</v>
      </c>
      <c r="C93">
        <v>15.95</v>
      </c>
    </row>
    <row r="94" spans="1:3" x14ac:dyDescent="0.35">
      <c r="A94" t="s">
        <v>20</v>
      </c>
      <c r="B94">
        <v>33.899063110351598</v>
      </c>
      <c r="C94">
        <v>32.340000000000003</v>
      </c>
    </row>
    <row r="95" spans="1:3" x14ac:dyDescent="0.35">
      <c r="A95" t="s">
        <v>20</v>
      </c>
      <c r="B95">
        <v>11.3217678070068</v>
      </c>
      <c r="C95">
        <v>9.27</v>
      </c>
    </row>
    <row r="96" spans="1:3" x14ac:dyDescent="0.35">
      <c r="A96" t="s">
        <v>20</v>
      </c>
      <c r="B96">
        <v>4.0301814079284703</v>
      </c>
      <c r="C96">
        <v>5.07</v>
      </c>
    </row>
    <row r="97" spans="1:3" x14ac:dyDescent="0.35">
      <c r="A97" t="s">
        <v>20</v>
      </c>
      <c r="B97">
        <v>4.0200843811035201</v>
      </c>
      <c r="C97">
        <v>5.78</v>
      </c>
    </row>
    <row r="98" spans="1:3" x14ac:dyDescent="0.35">
      <c r="A98" t="s">
        <v>20</v>
      </c>
      <c r="B98">
        <v>4.0200843811035201</v>
      </c>
      <c r="C98">
        <v>5.43</v>
      </c>
    </row>
    <row r="99" spans="1:3" x14ac:dyDescent="0.35">
      <c r="A99" t="s">
        <v>20</v>
      </c>
      <c r="B99">
        <v>13.797681808471699</v>
      </c>
      <c r="C99">
        <v>10.28</v>
      </c>
    </row>
    <row r="100" spans="1:3" x14ac:dyDescent="0.35">
      <c r="A100" t="s">
        <v>20</v>
      </c>
      <c r="B100">
        <v>24.850339889526399</v>
      </c>
      <c r="C100">
        <v>25.77</v>
      </c>
    </row>
    <row r="101" spans="1:3" x14ac:dyDescent="0.35">
      <c r="A101" t="s">
        <v>20</v>
      </c>
      <c r="B101">
        <v>5.0286531448364302</v>
      </c>
      <c r="C101">
        <v>7.3599999999999994</v>
      </c>
    </row>
    <row r="102" spans="1:3" x14ac:dyDescent="0.35">
      <c r="A102" t="s">
        <v>20</v>
      </c>
      <c r="B102">
        <v>5.1613750457763699</v>
      </c>
      <c r="C102">
        <v>5.08</v>
      </c>
    </row>
    <row r="103" spans="1:3" x14ac:dyDescent="0.35">
      <c r="A103" t="s">
        <v>23</v>
      </c>
      <c r="B103">
        <v>1.9542093276977499</v>
      </c>
      <c r="C103">
        <v>2.96</v>
      </c>
    </row>
    <row r="104" spans="1:3" x14ac:dyDescent="0.35">
      <c r="A104" t="s">
        <v>23</v>
      </c>
      <c r="B104">
        <v>1.9476903676986701</v>
      </c>
      <c r="C104">
        <v>2.31</v>
      </c>
    </row>
    <row r="105" spans="1:3" x14ac:dyDescent="0.35">
      <c r="A105" t="s">
        <v>23</v>
      </c>
      <c r="B105">
        <v>1.6429135799407999</v>
      </c>
      <c r="C105">
        <v>2.11</v>
      </c>
    </row>
    <row r="106" spans="1:3" x14ac:dyDescent="0.35">
      <c r="A106" t="s">
        <v>23</v>
      </c>
      <c r="B106">
        <v>3.9936172962188698</v>
      </c>
      <c r="C106">
        <v>2.09</v>
      </c>
    </row>
    <row r="107" spans="1:3" x14ac:dyDescent="0.35">
      <c r="A107" t="s">
        <v>23</v>
      </c>
      <c r="B107">
        <v>2.8888907432556201</v>
      </c>
      <c r="C107">
        <v>2.13</v>
      </c>
    </row>
    <row r="108" spans="1:3" x14ac:dyDescent="0.35">
      <c r="A108" t="s">
        <v>23</v>
      </c>
      <c r="B108">
        <v>7.1306881904602104</v>
      </c>
      <c r="C108">
        <v>3.18</v>
      </c>
    </row>
    <row r="109" spans="1:3" x14ac:dyDescent="0.35">
      <c r="A109" t="s">
        <v>23</v>
      </c>
      <c r="B109">
        <v>7.6970643997192401</v>
      </c>
      <c r="C109">
        <v>5.05</v>
      </c>
    </row>
    <row r="110" spans="1:3" x14ac:dyDescent="0.35">
      <c r="A110" t="s">
        <v>23</v>
      </c>
      <c r="B110">
        <v>1.5557951927185101</v>
      </c>
      <c r="C110">
        <v>2.31</v>
      </c>
    </row>
    <row r="111" spans="1:3" x14ac:dyDescent="0.35">
      <c r="A111" t="s">
        <v>23</v>
      </c>
      <c r="B111">
        <v>5.8360567092895499</v>
      </c>
      <c r="C111">
        <v>2.34</v>
      </c>
    </row>
    <row r="112" spans="1:3" x14ac:dyDescent="0.35">
      <c r="A112" t="s">
        <v>23</v>
      </c>
      <c r="B112">
        <v>1.7326465845107999</v>
      </c>
      <c r="C112">
        <v>2.7700000000000005</v>
      </c>
    </row>
    <row r="113" spans="1:3" x14ac:dyDescent="0.35">
      <c r="A113" t="s">
        <v>23</v>
      </c>
      <c r="B113">
        <v>1.44899773597717</v>
      </c>
      <c r="C113">
        <v>2.12</v>
      </c>
    </row>
    <row r="114" spans="1:3" x14ac:dyDescent="0.35">
      <c r="A114" t="s">
        <v>23</v>
      </c>
      <c r="B114">
        <v>3.1734673976898198</v>
      </c>
      <c r="C114">
        <v>2.4499999999999997</v>
      </c>
    </row>
    <row r="115" spans="1:3" x14ac:dyDescent="0.35">
      <c r="A115" t="s">
        <v>23</v>
      </c>
      <c r="B115">
        <v>6.3795046806335503</v>
      </c>
      <c r="C115">
        <v>3.86</v>
      </c>
    </row>
    <row r="116" spans="1:3" x14ac:dyDescent="0.35">
      <c r="A116" t="s">
        <v>23</v>
      </c>
      <c r="B116">
        <v>6.3791599273681596</v>
      </c>
      <c r="C116">
        <v>4.4400000000000004</v>
      </c>
    </row>
    <row r="117" spans="1:3" x14ac:dyDescent="0.35">
      <c r="A117" t="s">
        <v>23</v>
      </c>
      <c r="B117">
        <v>6.4936480522155797</v>
      </c>
      <c r="C117">
        <v>4.0599999999999996</v>
      </c>
    </row>
    <row r="118" spans="1:3" x14ac:dyDescent="0.35">
      <c r="A118" t="s">
        <v>23</v>
      </c>
      <c r="B118">
        <v>9.14300537109375</v>
      </c>
      <c r="C118">
        <v>6.56</v>
      </c>
    </row>
    <row r="119" spans="1:3" x14ac:dyDescent="0.35">
      <c r="A119" t="s">
        <v>23</v>
      </c>
      <c r="B119">
        <v>9.48724460601807</v>
      </c>
      <c r="C119">
        <v>6.72</v>
      </c>
    </row>
    <row r="120" spans="1:3" x14ac:dyDescent="0.35">
      <c r="A120" t="s">
        <v>23</v>
      </c>
      <c r="B120">
        <v>15.2803955078125</v>
      </c>
      <c r="C120">
        <v>18.829999999999998</v>
      </c>
    </row>
    <row r="121" spans="1:3" x14ac:dyDescent="0.35">
      <c r="A121" t="s">
        <v>23</v>
      </c>
      <c r="B121">
        <v>27.795467376708999</v>
      </c>
      <c r="C121">
        <v>27.5</v>
      </c>
    </row>
    <row r="122" spans="1:3" x14ac:dyDescent="0.35">
      <c r="A122" t="s">
        <v>23</v>
      </c>
      <c r="B122">
        <v>9.2791013717651403</v>
      </c>
      <c r="C122">
        <v>11.27</v>
      </c>
    </row>
    <row r="123" spans="1:3" x14ac:dyDescent="0.35">
      <c r="A123" t="s">
        <v>23</v>
      </c>
      <c r="B123">
        <v>20.7529411315918</v>
      </c>
      <c r="C123">
        <v>24.6</v>
      </c>
    </row>
    <row r="124" spans="1:3" x14ac:dyDescent="0.35">
      <c r="A124" t="s">
        <v>23</v>
      </c>
      <c r="B124">
        <v>36.550506591796903</v>
      </c>
      <c r="C124">
        <v>39.92</v>
      </c>
    </row>
    <row r="125" spans="1:3" x14ac:dyDescent="0.35">
      <c r="A125" t="s">
        <v>23</v>
      </c>
      <c r="B125">
        <v>11.3730764389038</v>
      </c>
      <c r="C125">
        <v>7.66</v>
      </c>
    </row>
    <row r="126" spans="1:3" x14ac:dyDescent="0.35">
      <c r="A126" t="s">
        <v>23</v>
      </c>
      <c r="B126">
        <v>6.7314910888671902</v>
      </c>
      <c r="C126">
        <v>3.14</v>
      </c>
    </row>
    <row r="127" spans="1:3" x14ac:dyDescent="0.35">
      <c r="A127" t="s">
        <v>23</v>
      </c>
      <c r="B127">
        <v>6.7005734443664604</v>
      </c>
      <c r="C127">
        <v>7.8800000000000008</v>
      </c>
    </row>
    <row r="128" spans="1:3" x14ac:dyDescent="0.35">
      <c r="A128" t="s">
        <v>23</v>
      </c>
      <c r="B128">
        <v>6.7005734443664604</v>
      </c>
      <c r="C128">
        <v>3.08</v>
      </c>
    </row>
    <row r="129" spans="1:3" x14ac:dyDescent="0.35">
      <c r="A129" t="s">
        <v>23</v>
      </c>
      <c r="B129">
        <v>17.062202453613299</v>
      </c>
      <c r="C129">
        <v>16.05</v>
      </c>
    </row>
    <row r="130" spans="1:3" x14ac:dyDescent="0.35">
      <c r="A130" t="s">
        <v>23</v>
      </c>
      <c r="B130">
        <v>32.014503479003899</v>
      </c>
      <c r="C130">
        <v>35.46</v>
      </c>
    </row>
    <row r="131" spans="1:3" x14ac:dyDescent="0.35">
      <c r="A131" t="s">
        <v>23</v>
      </c>
      <c r="B131">
        <v>3.3223969936370898</v>
      </c>
      <c r="C131">
        <v>4.45</v>
      </c>
    </row>
    <row r="132" spans="1:3" x14ac:dyDescent="0.35">
      <c r="A132" t="s">
        <v>23</v>
      </c>
      <c r="B132">
        <v>2.53601145744324</v>
      </c>
      <c r="C132">
        <v>3.79</v>
      </c>
    </row>
    <row r="133" spans="1:3" x14ac:dyDescent="0.35">
      <c r="A133" t="s">
        <v>27</v>
      </c>
      <c r="B133">
        <v>3.5574634075164799</v>
      </c>
      <c r="C133">
        <v>1.49</v>
      </c>
    </row>
    <row r="134" spans="1:3" x14ac:dyDescent="0.35">
      <c r="A134" t="s">
        <v>27</v>
      </c>
      <c r="B134">
        <v>5.74534368515015</v>
      </c>
      <c r="C134">
        <v>1.78</v>
      </c>
    </row>
    <row r="135" spans="1:3" x14ac:dyDescent="0.35">
      <c r="A135" t="s">
        <v>27</v>
      </c>
      <c r="B135">
        <v>4.8994083404540998</v>
      </c>
      <c r="C135">
        <v>2.76</v>
      </c>
    </row>
    <row r="136" spans="1:3" x14ac:dyDescent="0.35">
      <c r="A136" t="s">
        <v>27</v>
      </c>
      <c r="B136">
        <v>8.6035842895507795</v>
      </c>
      <c r="C136">
        <v>6.07</v>
      </c>
    </row>
    <row r="137" spans="1:3" x14ac:dyDescent="0.35">
      <c r="A137" t="s">
        <v>27</v>
      </c>
      <c r="B137">
        <v>8.5138425827026403</v>
      </c>
      <c r="C137">
        <v>7.29</v>
      </c>
    </row>
    <row r="138" spans="1:3" x14ac:dyDescent="0.35">
      <c r="A138" t="s">
        <v>27</v>
      </c>
      <c r="B138">
        <v>3.4588291645050102</v>
      </c>
      <c r="C138">
        <v>3.09</v>
      </c>
    </row>
    <row r="139" spans="1:3" x14ac:dyDescent="0.35">
      <c r="A139" t="s">
        <v>27</v>
      </c>
      <c r="B139">
        <v>7.9618272781372097</v>
      </c>
      <c r="C139">
        <v>6.55</v>
      </c>
    </row>
    <row r="140" spans="1:3" x14ac:dyDescent="0.35">
      <c r="A140" t="s">
        <v>27</v>
      </c>
      <c r="B140">
        <v>4.0738792419433603</v>
      </c>
      <c r="C140">
        <v>3.8500000000000005</v>
      </c>
    </row>
    <row r="141" spans="1:3" x14ac:dyDescent="0.35">
      <c r="A141" t="s">
        <v>27</v>
      </c>
      <c r="B141">
        <v>4.8929705619812003</v>
      </c>
      <c r="C141">
        <v>3.9799999999999995</v>
      </c>
    </row>
    <row r="142" spans="1:3" x14ac:dyDescent="0.35">
      <c r="A142" t="s">
        <v>27</v>
      </c>
      <c r="B142">
        <v>9.2662305831909197</v>
      </c>
      <c r="C142">
        <v>7.98</v>
      </c>
    </row>
    <row r="143" spans="1:3" x14ac:dyDescent="0.35">
      <c r="A143" t="s">
        <v>27</v>
      </c>
      <c r="B143">
        <v>9.3495330810546893</v>
      </c>
      <c r="C143">
        <v>8.3600000000000012</v>
      </c>
    </row>
    <row r="144" spans="1:3" x14ac:dyDescent="0.35">
      <c r="A144" t="s">
        <v>27</v>
      </c>
      <c r="B144">
        <v>12.4606580734253</v>
      </c>
      <c r="C144">
        <v>11.41</v>
      </c>
    </row>
    <row r="145" spans="1:3" x14ac:dyDescent="0.35">
      <c r="A145" t="s">
        <v>27</v>
      </c>
      <c r="B145">
        <v>12.7775478363037</v>
      </c>
      <c r="C145">
        <v>12.08</v>
      </c>
    </row>
    <row r="146" spans="1:3" x14ac:dyDescent="0.35">
      <c r="A146" t="s">
        <v>27</v>
      </c>
      <c r="B146">
        <v>17.3054084777832</v>
      </c>
      <c r="C146">
        <v>16.61</v>
      </c>
    </row>
    <row r="147" spans="1:3" x14ac:dyDescent="0.35">
      <c r="A147" t="s">
        <v>27</v>
      </c>
      <c r="B147">
        <v>27.449680328369102</v>
      </c>
      <c r="C147">
        <v>23.93</v>
      </c>
    </row>
    <row r="148" spans="1:3" x14ac:dyDescent="0.35">
      <c r="A148" t="s">
        <v>27</v>
      </c>
      <c r="B148">
        <v>21.085620880126999</v>
      </c>
      <c r="C148">
        <v>20.6</v>
      </c>
    </row>
    <row r="149" spans="1:3" x14ac:dyDescent="0.35">
      <c r="A149" t="s">
        <v>27</v>
      </c>
      <c r="B149">
        <v>36.522716522216797</v>
      </c>
      <c r="C149">
        <v>37.819999999999993</v>
      </c>
    </row>
    <row r="150" spans="1:3" x14ac:dyDescent="0.35">
      <c r="A150" t="s">
        <v>27</v>
      </c>
      <c r="B150">
        <v>12.519926071166999</v>
      </c>
      <c r="C150">
        <v>11.13</v>
      </c>
    </row>
    <row r="151" spans="1:3" x14ac:dyDescent="0.35">
      <c r="A151" t="s">
        <v>27</v>
      </c>
      <c r="B151">
        <v>8.3434467315673793</v>
      </c>
      <c r="C151">
        <v>3.79</v>
      </c>
    </row>
    <row r="152" spans="1:3" x14ac:dyDescent="0.35">
      <c r="A152" t="s">
        <v>27</v>
      </c>
      <c r="B152">
        <v>8.3440732955932599</v>
      </c>
      <c r="C152">
        <v>9.76</v>
      </c>
    </row>
    <row r="153" spans="1:3" x14ac:dyDescent="0.35">
      <c r="A153" t="s">
        <v>27</v>
      </c>
      <c r="B153">
        <v>17.267972946166999</v>
      </c>
      <c r="C153">
        <v>21.89</v>
      </c>
    </row>
    <row r="154" spans="1:3" x14ac:dyDescent="0.35">
      <c r="A154" t="s">
        <v>27</v>
      </c>
      <c r="B154">
        <v>29.1455898284912</v>
      </c>
      <c r="C154">
        <v>29.63</v>
      </c>
    </row>
    <row r="155" spans="1:3" x14ac:dyDescent="0.35">
      <c r="A155" t="s">
        <v>13</v>
      </c>
      <c r="B155">
        <v>2.0340173244476301</v>
      </c>
      <c r="C155">
        <v>3.86</v>
      </c>
    </row>
    <row r="156" spans="1:3" x14ac:dyDescent="0.35">
      <c r="A156" t="s">
        <v>13</v>
      </c>
      <c r="B156">
        <v>2.0504012107849099</v>
      </c>
      <c r="C156">
        <v>2.13</v>
      </c>
    </row>
    <row r="157" spans="1:3" x14ac:dyDescent="0.35">
      <c r="A157" t="s">
        <v>13</v>
      </c>
      <c r="B157">
        <v>6.1599831581115696</v>
      </c>
      <c r="C157">
        <v>4.4000000000000004</v>
      </c>
    </row>
    <row r="158" spans="1:3" x14ac:dyDescent="0.35">
      <c r="A158" t="s">
        <v>13</v>
      </c>
      <c r="B158">
        <v>5.2700695991516104</v>
      </c>
      <c r="C158">
        <v>4.6500000000000004</v>
      </c>
    </row>
    <row r="159" spans="1:3" x14ac:dyDescent="0.35">
      <c r="A159" t="s">
        <v>13</v>
      </c>
      <c r="B159">
        <v>8.7693166732788104</v>
      </c>
      <c r="C159">
        <v>7.85</v>
      </c>
    </row>
    <row r="160" spans="1:3" x14ac:dyDescent="0.35">
      <c r="A160" t="s">
        <v>13</v>
      </c>
      <c r="B160">
        <v>2.8191168308258101</v>
      </c>
      <c r="C160">
        <v>3.85</v>
      </c>
    </row>
    <row r="161" spans="1:3" x14ac:dyDescent="0.35">
      <c r="A161" t="s">
        <v>13</v>
      </c>
      <c r="B161">
        <v>8.1803655624389702</v>
      </c>
      <c r="C161">
        <v>7.62</v>
      </c>
    </row>
    <row r="162" spans="1:3" x14ac:dyDescent="0.35">
      <c r="A162" t="s">
        <v>13</v>
      </c>
      <c r="B162">
        <v>1.90528893470764</v>
      </c>
      <c r="C162">
        <v>2.9400000000000004</v>
      </c>
    </row>
    <row r="163" spans="1:3" x14ac:dyDescent="0.35">
      <c r="A163" t="s">
        <v>13</v>
      </c>
      <c r="B163">
        <v>2.2421641349792498</v>
      </c>
      <c r="C163">
        <v>2.98</v>
      </c>
    </row>
    <row r="164" spans="1:3" x14ac:dyDescent="0.35">
      <c r="A164" t="s">
        <v>13</v>
      </c>
      <c r="B164">
        <v>3.3617844581603999</v>
      </c>
      <c r="C164">
        <v>3.63</v>
      </c>
    </row>
    <row r="165" spans="1:3" x14ac:dyDescent="0.35">
      <c r="A165" t="s">
        <v>13</v>
      </c>
      <c r="B165">
        <v>6.5727596282959002</v>
      </c>
      <c r="C165">
        <v>6.31</v>
      </c>
    </row>
    <row r="166" spans="1:3" x14ac:dyDescent="0.35">
      <c r="A166" t="s">
        <v>13</v>
      </c>
      <c r="B166">
        <v>3.41788983345032</v>
      </c>
      <c r="C166">
        <v>3.5199999999999996</v>
      </c>
    </row>
    <row r="167" spans="1:3" x14ac:dyDescent="0.35">
      <c r="A167" t="s">
        <v>13</v>
      </c>
      <c r="B167">
        <v>10.026070594787599</v>
      </c>
      <c r="C167">
        <v>6.37</v>
      </c>
    </row>
    <row r="168" spans="1:3" x14ac:dyDescent="0.35">
      <c r="A168" t="s">
        <v>13</v>
      </c>
      <c r="B168">
        <v>4.8860750198364302</v>
      </c>
      <c r="C168">
        <v>4.41</v>
      </c>
    </row>
    <row r="169" spans="1:3" x14ac:dyDescent="0.35">
      <c r="A169" t="s">
        <v>13</v>
      </c>
      <c r="B169">
        <v>14.1496467590332</v>
      </c>
      <c r="C169">
        <v>11.79</v>
      </c>
    </row>
    <row r="170" spans="1:3" x14ac:dyDescent="0.35">
      <c r="A170" t="s">
        <v>13</v>
      </c>
      <c r="B170">
        <v>22.913082122802699</v>
      </c>
      <c r="C170">
        <v>18.43</v>
      </c>
    </row>
    <row r="171" spans="1:3" x14ac:dyDescent="0.35">
      <c r="A171" t="s">
        <v>13</v>
      </c>
      <c r="B171">
        <v>15.881507873535201</v>
      </c>
      <c r="C171">
        <v>16.350000000000001</v>
      </c>
    </row>
    <row r="172" spans="1:3" x14ac:dyDescent="0.35">
      <c r="A172" t="s">
        <v>13</v>
      </c>
      <c r="B172">
        <v>34.650730133056598</v>
      </c>
      <c r="C172">
        <v>32.379999999999995</v>
      </c>
    </row>
    <row r="173" spans="1:3" x14ac:dyDescent="0.35">
      <c r="A173" t="s">
        <v>13</v>
      </c>
      <c r="B173">
        <v>11.7999324798584</v>
      </c>
      <c r="C173">
        <v>9.32</v>
      </c>
    </row>
    <row r="174" spans="1:3" x14ac:dyDescent="0.35">
      <c r="A174" t="s">
        <v>13</v>
      </c>
      <c r="B174">
        <v>5.9023609161376998</v>
      </c>
      <c r="C174">
        <v>4.28</v>
      </c>
    </row>
    <row r="175" spans="1:3" x14ac:dyDescent="0.35">
      <c r="A175" t="s">
        <v>13</v>
      </c>
      <c r="B175">
        <v>5.9138917922973597</v>
      </c>
      <c r="C175">
        <v>6.84</v>
      </c>
    </row>
    <row r="176" spans="1:3" x14ac:dyDescent="0.35">
      <c r="A176" t="s">
        <v>13</v>
      </c>
      <c r="B176">
        <v>5.9138917922973597</v>
      </c>
      <c r="C176">
        <v>6.08</v>
      </c>
    </row>
    <row r="177" spans="1:3" x14ac:dyDescent="0.35">
      <c r="A177" t="s">
        <v>13</v>
      </c>
      <c r="B177">
        <v>14.5403709411621</v>
      </c>
      <c r="C177">
        <v>9.49</v>
      </c>
    </row>
    <row r="178" spans="1:3" x14ac:dyDescent="0.35">
      <c r="A178" t="s">
        <v>13</v>
      </c>
      <c r="B178">
        <v>25.693353652954102</v>
      </c>
      <c r="C178">
        <v>23.94</v>
      </c>
    </row>
    <row r="179" spans="1:3" x14ac:dyDescent="0.35">
      <c r="A179" t="s">
        <v>13</v>
      </c>
      <c r="B179">
        <v>8.3906126022338903</v>
      </c>
      <c r="C179">
        <v>11.08</v>
      </c>
    </row>
    <row r="180" spans="1:3" x14ac:dyDescent="0.35">
      <c r="A180" t="s">
        <v>13</v>
      </c>
      <c r="B180">
        <v>2.1134305000305198</v>
      </c>
      <c r="C180">
        <v>3.42</v>
      </c>
    </row>
    <row r="181" spans="1:3" x14ac:dyDescent="0.35">
      <c r="A181" t="s">
        <v>25</v>
      </c>
      <c r="B181">
        <v>3.1537833213806201</v>
      </c>
      <c r="C181">
        <v>5.41</v>
      </c>
    </row>
    <row r="182" spans="1:3" x14ac:dyDescent="0.35">
      <c r="A182" t="s">
        <v>25</v>
      </c>
      <c r="B182">
        <v>3.14753246307373</v>
      </c>
      <c r="C182">
        <v>1.97</v>
      </c>
    </row>
    <row r="183" spans="1:3" x14ac:dyDescent="0.35">
      <c r="A183" t="s">
        <v>25</v>
      </c>
      <c r="B183">
        <v>3.91373491287231</v>
      </c>
      <c r="C183">
        <v>2.12</v>
      </c>
    </row>
    <row r="184" spans="1:3" x14ac:dyDescent="0.35">
      <c r="A184" t="s">
        <v>25</v>
      </c>
      <c r="B184">
        <v>5.6785311698913601</v>
      </c>
      <c r="C184">
        <v>3.74</v>
      </c>
    </row>
    <row r="185" spans="1:3" x14ac:dyDescent="0.35">
      <c r="A185" t="s">
        <v>25</v>
      </c>
      <c r="B185">
        <v>4.2978162765502903</v>
      </c>
      <c r="C185">
        <v>4.5</v>
      </c>
    </row>
    <row r="186" spans="1:3" x14ac:dyDescent="0.35">
      <c r="A186" t="s">
        <v>25</v>
      </c>
      <c r="B186">
        <v>8.45715236663818</v>
      </c>
      <c r="C186">
        <v>8.14</v>
      </c>
    </row>
    <row r="187" spans="1:3" x14ac:dyDescent="0.35">
      <c r="A187" t="s">
        <v>25</v>
      </c>
      <c r="B187">
        <v>8.2150373458862305</v>
      </c>
      <c r="C187">
        <v>8.0500000000000007</v>
      </c>
    </row>
    <row r="188" spans="1:3" x14ac:dyDescent="0.35">
      <c r="A188" t="s">
        <v>25</v>
      </c>
      <c r="B188">
        <v>3.0861001014709499</v>
      </c>
      <c r="C188">
        <v>4.24</v>
      </c>
    </row>
    <row r="189" spans="1:3" x14ac:dyDescent="0.35">
      <c r="A189" t="s">
        <v>25</v>
      </c>
      <c r="B189">
        <v>7.7206749916076696</v>
      </c>
      <c r="C189">
        <v>7.58</v>
      </c>
    </row>
    <row r="190" spans="1:3" x14ac:dyDescent="0.35">
      <c r="A190" t="s">
        <v>25</v>
      </c>
      <c r="B190">
        <v>4.8496851921081499</v>
      </c>
      <c r="C190">
        <v>5.82</v>
      </c>
    </row>
    <row r="191" spans="1:3" x14ac:dyDescent="0.35">
      <c r="A191" t="s">
        <v>25</v>
      </c>
      <c r="B191">
        <v>2.5884561538696298</v>
      </c>
      <c r="C191">
        <v>4.07</v>
      </c>
    </row>
    <row r="192" spans="1:3" x14ac:dyDescent="0.35">
      <c r="A192" t="s">
        <v>25</v>
      </c>
      <c r="B192">
        <v>3.73580694198608</v>
      </c>
      <c r="C192">
        <v>4.99</v>
      </c>
    </row>
    <row r="193" spans="1:3" x14ac:dyDescent="0.35">
      <c r="A193" t="s">
        <v>25</v>
      </c>
      <c r="B193">
        <v>5.4548311233520499</v>
      </c>
      <c r="C193">
        <v>5.19</v>
      </c>
    </row>
    <row r="194" spans="1:3" x14ac:dyDescent="0.35">
      <c r="A194" t="s">
        <v>25</v>
      </c>
      <c r="B194">
        <v>6.7741074562072798</v>
      </c>
      <c r="C194">
        <v>7.24</v>
      </c>
    </row>
    <row r="195" spans="1:3" x14ac:dyDescent="0.35">
      <c r="A195" t="s">
        <v>25</v>
      </c>
      <c r="B195">
        <v>5.5769238471984899</v>
      </c>
      <c r="C195">
        <v>5.2399999999999993</v>
      </c>
    </row>
    <row r="196" spans="1:3" x14ac:dyDescent="0.35">
      <c r="A196" t="s">
        <v>25</v>
      </c>
      <c r="B196">
        <v>10.078198432922401</v>
      </c>
      <c r="C196">
        <v>8.1900000000000013</v>
      </c>
    </row>
    <row r="197" spans="1:3" x14ac:dyDescent="0.35">
      <c r="A197" t="s">
        <v>25</v>
      </c>
      <c r="B197">
        <v>8.0270557403564506</v>
      </c>
      <c r="C197">
        <v>5.68</v>
      </c>
    </row>
    <row r="198" spans="1:3" x14ac:dyDescent="0.35">
      <c r="A198" t="s">
        <v>25</v>
      </c>
      <c r="B198">
        <v>12.170327186584499</v>
      </c>
      <c r="C198">
        <v>12.03</v>
      </c>
    </row>
    <row r="199" spans="1:3" x14ac:dyDescent="0.35">
      <c r="A199" t="s">
        <v>25</v>
      </c>
      <c r="B199">
        <v>21.897832870483398</v>
      </c>
      <c r="C199">
        <v>18.41</v>
      </c>
    </row>
    <row r="200" spans="1:3" x14ac:dyDescent="0.35">
      <c r="A200" t="s">
        <v>25</v>
      </c>
      <c r="B200">
        <v>6.9796085357665998</v>
      </c>
      <c r="C200">
        <v>8.1300000000000008</v>
      </c>
    </row>
    <row r="201" spans="1:3" x14ac:dyDescent="0.35">
      <c r="A201" t="s">
        <v>25</v>
      </c>
      <c r="B201">
        <v>14.065894126892101</v>
      </c>
      <c r="C201">
        <v>13.24</v>
      </c>
    </row>
    <row r="202" spans="1:3" x14ac:dyDescent="0.35">
      <c r="A202" t="s">
        <v>25</v>
      </c>
      <c r="B202">
        <v>33.426174163818402</v>
      </c>
      <c r="C202">
        <v>34.180000000000007</v>
      </c>
    </row>
    <row r="203" spans="1:3" x14ac:dyDescent="0.35">
      <c r="A203" t="s">
        <v>25</v>
      </c>
      <c r="B203">
        <v>11.270515441894499</v>
      </c>
      <c r="C203">
        <v>7.84</v>
      </c>
    </row>
    <row r="204" spans="1:3" x14ac:dyDescent="0.35">
      <c r="A204" t="s">
        <v>25</v>
      </c>
      <c r="B204">
        <v>6.0226778984069798</v>
      </c>
      <c r="C204">
        <v>4.5</v>
      </c>
    </row>
    <row r="205" spans="1:3" x14ac:dyDescent="0.35">
      <c r="A205" t="s">
        <v>25</v>
      </c>
      <c r="B205">
        <v>6.0143284797668501</v>
      </c>
      <c r="C205">
        <v>6.82</v>
      </c>
    </row>
    <row r="206" spans="1:3" x14ac:dyDescent="0.35">
      <c r="A206" t="s">
        <v>25</v>
      </c>
      <c r="B206">
        <v>6.0143284797668501</v>
      </c>
      <c r="C206">
        <v>5.89</v>
      </c>
    </row>
    <row r="207" spans="1:3" x14ac:dyDescent="0.35">
      <c r="A207" t="s">
        <v>25</v>
      </c>
      <c r="B207">
        <v>14.709205627441399</v>
      </c>
      <c r="C207">
        <v>12.07</v>
      </c>
    </row>
    <row r="208" spans="1:3" x14ac:dyDescent="0.35">
      <c r="A208" t="s">
        <v>25</v>
      </c>
      <c r="B208">
        <v>5.27545166015625</v>
      </c>
      <c r="C208">
        <v>6.01</v>
      </c>
    </row>
    <row r="209" spans="1:3" x14ac:dyDescent="0.35">
      <c r="A209" t="s">
        <v>25</v>
      </c>
      <c r="B209">
        <v>14.829709053039601</v>
      </c>
      <c r="C209">
        <v>16.64</v>
      </c>
    </row>
    <row r="210" spans="1:3" x14ac:dyDescent="0.35">
      <c r="A210" t="s">
        <v>25</v>
      </c>
      <c r="B210">
        <v>8.5909538269043004</v>
      </c>
      <c r="C210">
        <v>8.66</v>
      </c>
    </row>
    <row r="211" spans="1:3" x14ac:dyDescent="0.35">
      <c r="A211" t="s">
        <v>17</v>
      </c>
      <c r="B211">
        <v>1.2953345775604199</v>
      </c>
      <c r="C211">
        <v>2.92</v>
      </c>
    </row>
    <row r="212" spans="1:3" x14ac:dyDescent="0.35">
      <c r="A212" t="s">
        <v>17</v>
      </c>
      <c r="B212">
        <v>1.2812638282775899</v>
      </c>
      <c r="C212">
        <v>2.38</v>
      </c>
    </row>
    <row r="213" spans="1:3" x14ac:dyDescent="0.35">
      <c r="A213" t="s">
        <v>17</v>
      </c>
      <c r="B213">
        <v>1.8425482511520399</v>
      </c>
      <c r="C213">
        <v>2.2000000000000002</v>
      </c>
    </row>
    <row r="214" spans="1:3" x14ac:dyDescent="0.35">
      <c r="A214" t="s">
        <v>17</v>
      </c>
      <c r="B214">
        <v>4.1137104034423801</v>
      </c>
      <c r="C214">
        <v>2.15</v>
      </c>
    </row>
    <row r="215" spans="1:3" x14ac:dyDescent="0.35">
      <c r="A215" t="s">
        <v>17</v>
      </c>
      <c r="B215">
        <v>2.9043555259704599</v>
      </c>
      <c r="C215">
        <v>2.2999999999999998</v>
      </c>
    </row>
    <row r="216" spans="1:3" x14ac:dyDescent="0.35">
      <c r="A216" t="s">
        <v>17</v>
      </c>
      <c r="B216">
        <v>6.9523983001709002</v>
      </c>
      <c r="C216">
        <v>2.2999999999999998</v>
      </c>
    </row>
    <row r="217" spans="1:3" x14ac:dyDescent="0.35">
      <c r="A217" t="s">
        <v>17</v>
      </c>
      <c r="B217">
        <v>6.8705577850341797</v>
      </c>
      <c r="C217">
        <v>3.09</v>
      </c>
    </row>
    <row r="218" spans="1:3" x14ac:dyDescent="0.35">
      <c r="A218" t="s">
        <v>17</v>
      </c>
      <c r="B218">
        <v>1.17037808895111</v>
      </c>
      <c r="C218">
        <v>2.0699999999999998</v>
      </c>
    </row>
    <row r="219" spans="1:3" x14ac:dyDescent="0.35">
      <c r="A219" t="s">
        <v>17</v>
      </c>
      <c r="B219">
        <v>5.86962795257568</v>
      </c>
      <c r="C219">
        <v>1.98</v>
      </c>
    </row>
    <row r="220" spans="1:3" x14ac:dyDescent="0.35">
      <c r="A220" t="s">
        <v>17</v>
      </c>
      <c r="B220">
        <v>1.8521910905837999</v>
      </c>
      <c r="C220">
        <v>2.39</v>
      </c>
    </row>
    <row r="221" spans="1:3" x14ac:dyDescent="0.35">
      <c r="A221" t="s">
        <v>17</v>
      </c>
      <c r="B221">
        <v>1.76886594295502</v>
      </c>
      <c r="C221">
        <v>2.0499999999999998</v>
      </c>
    </row>
    <row r="222" spans="1:3" x14ac:dyDescent="0.35">
      <c r="A222" t="s">
        <v>17</v>
      </c>
      <c r="B222">
        <v>1.5585350990295399</v>
      </c>
      <c r="C222">
        <v>2.15</v>
      </c>
    </row>
    <row r="223" spans="1:3" x14ac:dyDescent="0.35">
      <c r="A223" t="s">
        <v>17</v>
      </c>
      <c r="B223">
        <v>4.9298162460327202</v>
      </c>
      <c r="C223">
        <v>2.66</v>
      </c>
    </row>
    <row r="224" spans="1:3" x14ac:dyDescent="0.35">
      <c r="A224" t="s">
        <v>17</v>
      </c>
      <c r="B224">
        <v>1.7800418138503999</v>
      </c>
      <c r="C224">
        <v>2.17</v>
      </c>
    </row>
    <row r="225" spans="1:3" x14ac:dyDescent="0.35">
      <c r="A225" t="s">
        <v>17</v>
      </c>
      <c r="B225">
        <v>7.6005153656005904</v>
      </c>
      <c r="C225">
        <v>2.25</v>
      </c>
    </row>
    <row r="226" spans="1:3" x14ac:dyDescent="0.35">
      <c r="A226" t="s">
        <v>17</v>
      </c>
      <c r="B226">
        <v>1.8080533742904701</v>
      </c>
      <c r="C226">
        <v>2.2400000000000002</v>
      </c>
    </row>
    <row r="227" spans="1:3" x14ac:dyDescent="0.35">
      <c r="A227" t="s">
        <v>17</v>
      </c>
      <c r="B227">
        <v>10.003471374511699</v>
      </c>
      <c r="C227">
        <v>6.89</v>
      </c>
    </row>
    <row r="228" spans="1:3" x14ac:dyDescent="0.35">
      <c r="A228" t="s">
        <v>17</v>
      </c>
      <c r="B228">
        <v>19.330123901367202</v>
      </c>
      <c r="C228">
        <v>16.18</v>
      </c>
    </row>
    <row r="229" spans="1:3" x14ac:dyDescent="0.35">
      <c r="A229" t="s">
        <v>17</v>
      </c>
      <c r="B229">
        <v>1.81040298938751</v>
      </c>
      <c r="C229">
        <v>2.36</v>
      </c>
    </row>
    <row r="230" spans="1:3" x14ac:dyDescent="0.35">
      <c r="A230" t="s">
        <v>17</v>
      </c>
      <c r="B230">
        <v>9.9020843505859393</v>
      </c>
      <c r="C230">
        <v>12.45</v>
      </c>
    </row>
    <row r="231" spans="1:3" x14ac:dyDescent="0.35">
      <c r="A231" t="s">
        <v>17</v>
      </c>
      <c r="B231">
        <v>32.237846374511697</v>
      </c>
      <c r="C231">
        <v>31.41</v>
      </c>
    </row>
    <row r="232" spans="1:3" x14ac:dyDescent="0.35">
      <c r="A232" t="s">
        <v>17</v>
      </c>
      <c r="B232">
        <v>1.8097038269043</v>
      </c>
      <c r="C232">
        <v>2.68</v>
      </c>
    </row>
    <row r="233" spans="1:3" x14ac:dyDescent="0.35">
      <c r="A233" t="s">
        <v>17</v>
      </c>
      <c r="B233">
        <v>1.8097119331359901</v>
      </c>
      <c r="C233">
        <v>2.33</v>
      </c>
    </row>
    <row r="234" spans="1:3" x14ac:dyDescent="0.35">
      <c r="A234" t="s">
        <v>17</v>
      </c>
      <c r="B234">
        <v>1.8097119331359901</v>
      </c>
      <c r="C234">
        <v>2.34</v>
      </c>
    </row>
    <row r="235" spans="1:3" x14ac:dyDescent="0.35">
      <c r="A235" t="s">
        <v>17</v>
      </c>
      <c r="B235">
        <v>12.133440017700201</v>
      </c>
      <c r="C235">
        <v>8.48</v>
      </c>
    </row>
    <row r="236" spans="1:3" x14ac:dyDescent="0.35">
      <c r="A236" t="s">
        <v>17</v>
      </c>
      <c r="B236">
        <v>1.9080952405929601</v>
      </c>
      <c r="C236">
        <v>2.8200000000000003</v>
      </c>
    </row>
    <row r="237" spans="1:3" x14ac:dyDescent="0.35">
      <c r="A237" t="s">
        <v>17</v>
      </c>
      <c r="B237">
        <v>2.1765878200531001</v>
      </c>
      <c r="C237">
        <v>2.69</v>
      </c>
    </row>
    <row r="238" spans="1:3" x14ac:dyDescent="0.35">
      <c r="A238" t="s">
        <v>30</v>
      </c>
      <c r="B238">
        <v>6.54313468933106</v>
      </c>
      <c r="C238">
        <v>3.22</v>
      </c>
    </row>
    <row r="239" spans="1:3" x14ac:dyDescent="0.35">
      <c r="A239" t="s">
        <v>30</v>
      </c>
      <c r="B239">
        <v>7.5198392868042001</v>
      </c>
      <c r="C239">
        <v>5.49</v>
      </c>
    </row>
    <row r="240" spans="1:3" x14ac:dyDescent="0.35">
      <c r="A240" t="s">
        <v>30</v>
      </c>
      <c r="B240">
        <v>6.8409962654113796</v>
      </c>
      <c r="C240">
        <v>6.08</v>
      </c>
    </row>
    <row r="241" spans="1:3" x14ac:dyDescent="0.35">
      <c r="A241" t="s">
        <v>30</v>
      </c>
      <c r="B241">
        <v>10.667182922363301</v>
      </c>
      <c r="C241">
        <v>9.9499999999999993</v>
      </c>
    </row>
    <row r="242" spans="1:3" x14ac:dyDescent="0.35">
      <c r="A242" t="s">
        <v>30</v>
      </c>
      <c r="B242">
        <v>11.549516677856399</v>
      </c>
      <c r="C242">
        <v>10.25</v>
      </c>
    </row>
    <row r="243" spans="1:3" x14ac:dyDescent="0.35">
      <c r="A243" t="s">
        <v>30</v>
      </c>
      <c r="B243">
        <v>6.0985293388366699</v>
      </c>
      <c r="C243">
        <v>5.13</v>
      </c>
    </row>
    <row r="244" spans="1:3" x14ac:dyDescent="0.35">
      <c r="A244" t="s">
        <v>30</v>
      </c>
      <c r="B244">
        <v>8.5244693756103498</v>
      </c>
      <c r="C244">
        <v>7.96</v>
      </c>
    </row>
    <row r="245" spans="1:3" x14ac:dyDescent="0.35">
      <c r="A245" t="s">
        <v>30</v>
      </c>
      <c r="B245">
        <v>8.4517955780029297</v>
      </c>
      <c r="C245">
        <v>6.1000000000000005</v>
      </c>
    </row>
    <row r="246" spans="1:3" x14ac:dyDescent="0.35">
      <c r="A246" t="s">
        <v>30</v>
      </c>
      <c r="B246">
        <v>7.0889930725097701</v>
      </c>
      <c r="C246">
        <v>5.96</v>
      </c>
    </row>
    <row r="247" spans="1:3" x14ac:dyDescent="0.35">
      <c r="A247" t="s">
        <v>30</v>
      </c>
      <c r="B247">
        <v>9.1767826080322301</v>
      </c>
      <c r="C247">
        <v>8.9499999999999993</v>
      </c>
    </row>
    <row r="248" spans="1:3" x14ac:dyDescent="0.35">
      <c r="A248" t="s">
        <v>30</v>
      </c>
      <c r="B248">
        <v>9.2490892410278303</v>
      </c>
      <c r="C248">
        <v>7.56</v>
      </c>
    </row>
    <row r="249" spans="1:3" x14ac:dyDescent="0.35">
      <c r="A249" t="s">
        <v>30</v>
      </c>
      <c r="B249">
        <v>11.886334419250501</v>
      </c>
      <c r="C249">
        <v>10.579999999999998</v>
      </c>
    </row>
    <row r="250" spans="1:3" x14ac:dyDescent="0.35">
      <c r="A250" t="s">
        <v>30</v>
      </c>
      <c r="B250">
        <v>12.1582746505737</v>
      </c>
      <c r="C250">
        <v>9.48</v>
      </c>
    </row>
    <row r="251" spans="1:3" x14ac:dyDescent="0.35">
      <c r="A251" t="s">
        <v>30</v>
      </c>
      <c r="B251">
        <v>28.2618007659912</v>
      </c>
      <c r="C251">
        <v>23.91</v>
      </c>
    </row>
    <row r="252" spans="1:3" x14ac:dyDescent="0.35">
      <c r="A252" t="s">
        <v>30</v>
      </c>
      <c r="B252">
        <v>23.5012321472168</v>
      </c>
      <c r="C252">
        <v>20.23</v>
      </c>
    </row>
    <row r="253" spans="1:3" x14ac:dyDescent="0.35">
      <c r="A253" t="s">
        <v>30</v>
      </c>
      <c r="B253">
        <v>35.915756225585902</v>
      </c>
      <c r="C253">
        <v>33.200000000000003</v>
      </c>
    </row>
    <row r="254" spans="1:3" x14ac:dyDescent="0.35">
      <c r="A254" t="s">
        <v>30</v>
      </c>
      <c r="B254">
        <v>13.4106397628784</v>
      </c>
      <c r="C254">
        <v>12.49</v>
      </c>
    </row>
    <row r="255" spans="1:3" x14ac:dyDescent="0.35">
      <c r="A255" t="s">
        <v>30</v>
      </c>
      <c r="B255">
        <v>9.5507850646972692</v>
      </c>
      <c r="C255">
        <v>10.039999999999999</v>
      </c>
    </row>
    <row r="256" spans="1:3" x14ac:dyDescent="0.35">
      <c r="A256" t="s">
        <v>30</v>
      </c>
      <c r="B256">
        <v>9.5507850646972692</v>
      </c>
      <c r="C256">
        <v>7.52</v>
      </c>
    </row>
    <row r="257" spans="1:3" x14ac:dyDescent="0.35">
      <c r="A257" t="s">
        <v>30</v>
      </c>
      <c r="B257">
        <v>20.554725646972699</v>
      </c>
      <c r="C257">
        <v>16.28</v>
      </c>
    </row>
    <row r="258" spans="1:3" x14ac:dyDescent="0.35">
      <c r="A258" t="s">
        <v>21</v>
      </c>
      <c r="B258">
        <v>1.8587521314621001</v>
      </c>
      <c r="C258">
        <v>3.54</v>
      </c>
    </row>
    <row r="259" spans="1:3" x14ac:dyDescent="0.35">
      <c r="A259" t="s">
        <v>21</v>
      </c>
      <c r="B259">
        <v>1.84258592128754</v>
      </c>
      <c r="C259">
        <v>1.91</v>
      </c>
    </row>
    <row r="260" spans="1:3" x14ac:dyDescent="0.35">
      <c r="A260" t="s">
        <v>21</v>
      </c>
      <c r="B260">
        <v>2.5316567420959499</v>
      </c>
      <c r="C260">
        <v>1.69</v>
      </c>
    </row>
    <row r="261" spans="1:3" x14ac:dyDescent="0.35">
      <c r="A261" t="s">
        <v>21</v>
      </c>
      <c r="B261">
        <v>4.90875291824341</v>
      </c>
      <c r="C261">
        <v>1.61</v>
      </c>
    </row>
    <row r="262" spans="1:3" x14ac:dyDescent="0.35">
      <c r="A262" t="s">
        <v>21</v>
      </c>
      <c r="B262">
        <v>3.00093650817871</v>
      </c>
      <c r="C262">
        <v>1.78</v>
      </c>
    </row>
    <row r="263" spans="1:3" x14ac:dyDescent="0.35">
      <c r="A263" t="s">
        <v>21</v>
      </c>
      <c r="B263">
        <v>6.9199872016906703</v>
      </c>
      <c r="C263">
        <v>1.84</v>
      </c>
    </row>
    <row r="264" spans="1:3" x14ac:dyDescent="0.35">
      <c r="A264" t="s">
        <v>21</v>
      </c>
      <c r="B264">
        <v>7.4072809219360396</v>
      </c>
      <c r="C264">
        <v>3.95</v>
      </c>
    </row>
    <row r="265" spans="1:3" x14ac:dyDescent="0.35">
      <c r="A265" t="s">
        <v>21</v>
      </c>
      <c r="B265">
        <v>1.6084678173065201</v>
      </c>
      <c r="C265">
        <v>2.4900000000000002</v>
      </c>
    </row>
    <row r="266" spans="1:3" x14ac:dyDescent="0.35">
      <c r="A266" t="s">
        <v>21</v>
      </c>
      <c r="B266">
        <v>6.3637981414794904</v>
      </c>
      <c r="C266">
        <v>2.4700000000000002</v>
      </c>
    </row>
    <row r="267" spans="1:3" x14ac:dyDescent="0.35">
      <c r="A267" t="s">
        <v>21</v>
      </c>
      <c r="B267">
        <v>2.6814935207366899</v>
      </c>
      <c r="C267">
        <v>3.41</v>
      </c>
    </row>
    <row r="268" spans="1:3" x14ac:dyDescent="0.35">
      <c r="A268" t="s">
        <v>21</v>
      </c>
      <c r="B268">
        <v>1.55275595188141</v>
      </c>
      <c r="C268">
        <v>2.46</v>
      </c>
    </row>
    <row r="269" spans="1:3" x14ac:dyDescent="0.35">
      <c r="A269" t="s">
        <v>21</v>
      </c>
      <c r="B269">
        <v>2.5161905288696298</v>
      </c>
      <c r="C269">
        <v>3.07</v>
      </c>
    </row>
    <row r="270" spans="1:3" x14ac:dyDescent="0.35">
      <c r="A270" t="s">
        <v>21</v>
      </c>
      <c r="B270">
        <v>2.56960129737854</v>
      </c>
      <c r="C270">
        <v>3.2</v>
      </c>
    </row>
    <row r="271" spans="1:3" x14ac:dyDescent="0.35">
      <c r="A271" t="s">
        <v>21</v>
      </c>
      <c r="B271">
        <v>5.1192474365234402</v>
      </c>
      <c r="C271">
        <v>3.81</v>
      </c>
    </row>
    <row r="272" spans="1:3" x14ac:dyDescent="0.35">
      <c r="A272" t="s">
        <v>21</v>
      </c>
      <c r="B272">
        <v>2.6399791240692099</v>
      </c>
      <c r="C272">
        <v>3.2299999999999995</v>
      </c>
    </row>
    <row r="273" spans="1:3" x14ac:dyDescent="0.35">
      <c r="A273" t="s">
        <v>21</v>
      </c>
      <c r="B273">
        <v>8.4910736083984393</v>
      </c>
      <c r="C273">
        <v>3.88</v>
      </c>
    </row>
    <row r="274" spans="1:3" x14ac:dyDescent="0.35">
      <c r="A274" t="s">
        <v>21</v>
      </c>
      <c r="B274">
        <v>12.389152526855501</v>
      </c>
      <c r="C274">
        <v>10.81</v>
      </c>
    </row>
    <row r="275" spans="1:3" x14ac:dyDescent="0.35">
      <c r="A275" t="s">
        <v>21</v>
      </c>
      <c r="B275">
        <v>22.206932067871101</v>
      </c>
      <c r="C275">
        <v>18.760000000000002</v>
      </c>
    </row>
    <row r="276" spans="1:3" x14ac:dyDescent="0.35">
      <c r="A276" t="s">
        <v>21</v>
      </c>
      <c r="B276">
        <v>5.6536121368408203</v>
      </c>
      <c r="C276">
        <v>5.67</v>
      </c>
    </row>
    <row r="277" spans="1:3" x14ac:dyDescent="0.35">
      <c r="A277" t="s">
        <v>21</v>
      </c>
      <c r="B277">
        <v>14.651165962219199</v>
      </c>
      <c r="C277">
        <v>15.66</v>
      </c>
    </row>
    <row r="278" spans="1:3" x14ac:dyDescent="0.35">
      <c r="A278" t="s">
        <v>21</v>
      </c>
      <c r="B278">
        <v>34.199054718017599</v>
      </c>
      <c r="C278">
        <v>34.269999999999996</v>
      </c>
    </row>
    <row r="279" spans="1:3" x14ac:dyDescent="0.35">
      <c r="A279" t="s">
        <v>21</v>
      </c>
      <c r="B279">
        <v>11.316707611084</v>
      </c>
      <c r="C279">
        <v>6.38</v>
      </c>
    </row>
    <row r="280" spans="1:3" x14ac:dyDescent="0.35">
      <c r="A280" t="s">
        <v>21</v>
      </c>
      <c r="B280">
        <v>4.0951595306396502</v>
      </c>
      <c r="C280">
        <v>3.16</v>
      </c>
    </row>
    <row r="281" spans="1:3" x14ac:dyDescent="0.35">
      <c r="A281" t="s">
        <v>21</v>
      </c>
      <c r="B281">
        <v>4.0730605125427299</v>
      </c>
      <c r="C281">
        <v>4.9800000000000004</v>
      </c>
    </row>
    <row r="282" spans="1:3" x14ac:dyDescent="0.35">
      <c r="A282" t="s">
        <v>21</v>
      </c>
      <c r="B282">
        <v>4.0730605125427299</v>
      </c>
      <c r="C282">
        <v>3.6100000000000003</v>
      </c>
    </row>
    <row r="283" spans="1:3" x14ac:dyDescent="0.35">
      <c r="A283" t="s">
        <v>21</v>
      </c>
      <c r="B283">
        <v>13.837394714355501</v>
      </c>
      <c r="C283">
        <v>9.67</v>
      </c>
    </row>
    <row r="284" spans="1:3" x14ac:dyDescent="0.35">
      <c r="A284" t="s">
        <v>21</v>
      </c>
      <c r="B284">
        <v>23.983903884887699</v>
      </c>
      <c r="C284">
        <v>25.12</v>
      </c>
    </row>
    <row r="285" spans="1:3" x14ac:dyDescent="0.35">
      <c r="A285" t="s">
        <v>21</v>
      </c>
      <c r="B285">
        <v>4.2818312644958496</v>
      </c>
      <c r="C285">
        <v>5.3800000000000008</v>
      </c>
    </row>
    <row r="286" spans="1:3" x14ac:dyDescent="0.35">
      <c r="A286" t="s">
        <v>21</v>
      </c>
      <c r="B286">
        <v>3.32182836532593</v>
      </c>
      <c r="C286">
        <v>4.2300000000000004</v>
      </c>
    </row>
    <row r="287" spans="1:3" x14ac:dyDescent="0.35">
      <c r="A287" t="s">
        <v>29</v>
      </c>
      <c r="B287">
        <v>2.8905079364776598</v>
      </c>
      <c r="C287">
        <v>2.06</v>
      </c>
    </row>
    <row r="288" spans="1:3" x14ac:dyDescent="0.35">
      <c r="A288" t="s">
        <v>29</v>
      </c>
      <c r="B288">
        <v>6.2768292427062997</v>
      </c>
      <c r="C288">
        <v>2.5099999999999998</v>
      </c>
    </row>
    <row r="289" spans="1:3" x14ac:dyDescent="0.35">
      <c r="A289" t="s">
        <v>29</v>
      </c>
      <c r="B289">
        <v>5.2084484100341797</v>
      </c>
      <c r="C289">
        <v>3.14</v>
      </c>
    </row>
    <row r="290" spans="1:3" x14ac:dyDescent="0.35">
      <c r="A290" t="s">
        <v>29</v>
      </c>
      <c r="B290">
        <v>8.6697673797607404</v>
      </c>
      <c r="C290">
        <v>3.78</v>
      </c>
    </row>
    <row r="291" spans="1:3" x14ac:dyDescent="0.35">
      <c r="A291" t="s">
        <v>29</v>
      </c>
      <c r="B291">
        <v>9.4046001434326207</v>
      </c>
      <c r="C291">
        <v>7.29</v>
      </c>
    </row>
    <row r="292" spans="1:3" x14ac:dyDescent="0.35">
      <c r="A292" t="s">
        <v>29</v>
      </c>
      <c r="B292">
        <v>2.9108982086181601</v>
      </c>
      <c r="C292">
        <v>3.21</v>
      </c>
    </row>
    <row r="293" spans="1:3" x14ac:dyDescent="0.35">
      <c r="A293" t="s">
        <v>29</v>
      </c>
      <c r="B293">
        <v>7.9541120529174796</v>
      </c>
      <c r="C293">
        <v>5.94</v>
      </c>
    </row>
    <row r="294" spans="1:3" x14ac:dyDescent="0.35">
      <c r="A294" t="s">
        <v>29</v>
      </c>
      <c r="B294">
        <v>3.66083788871765</v>
      </c>
      <c r="C294">
        <v>4.41</v>
      </c>
    </row>
    <row r="295" spans="1:3" x14ac:dyDescent="0.35">
      <c r="A295" t="s">
        <v>29</v>
      </c>
      <c r="B295">
        <v>3.5101194381713898</v>
      </c>
      <c r="C295">
        <v>4.24</v>
      </c>
    </row>
    <row r="296" spans="1:3" x14ac:dyDescent="0.35">
      <c r="A296" t="s">
        <v>29</v>
      </c>
      <c r="B296">
        <v>6.39343357086182</v>
      </c>
      <c r="C296">
        <v>5.25</v>
      </c>
    </row>
    <row r="297" spans="1:3" x14ac:dyDescent="0.35">
      <c r="A297" t="s">
        <v>29</v>
      </c>
      <c r="B297">
        <v>5.52766990661621</v>
      </c>
      <c r="C297">
        <v>4.7699999999999996</v>
      </c>
    </row>
    <row r="298" spans="1:3" x14ac:dyDescent="0.35">
      <c r="A298" t="s">
        <v>29</v>
      </c>
      <c r="B298">
        <v>10.220248222351101</v>
      </c>
      <c r="C298">
        <v>6.85</v>
      </c>
    </row>
    <row r="299" spans="1:3" x14ac:dyDescent="0.35">
      <c r="A299" t="s">
        <v>29</v>
      </c>
      <c r="B299">
        <v>7.5141615867614799</v>
      </c>
      <c r="C299">
        <v>5.8999999999999995</v>
      </c>
    </row>
    <row r="300" spans="1:3" x14ac:dyDescent="0.35">
      <c r="A300" t="s">
        <v>29</v>
      </c>
      <c r="B300">
        <v>15.149151802063001</v>
      </c>
      <c r="C300">
        <v>14.15</v>
      </c>
    </row>
    <row r="301" spans="1:3" x14ac:dyDescent="0.35">
      <c r="A301" t="s">
        <v>29</v>
      </c>
      <c r="B301">
        <v>25.0657043457031</v>
      </c>
      <c r="C301">
        <v>22.44</v>
      </c>
    </row>
    <row r="302" spans="1:3" x14ac:dyDescent="0.35">
      <c r="A302" t="s">
        <v>29</v>
      </c>
      <c r="B302">
        <v>18.9239387512207</v>
      </c>
      <c r="C302">
        <v>16.03</v>
      </c>
    </row>
    <row r="303" spans="1:3" x14ac:dyDescent="0.35">
      <c r="A303" t="s">
        <v>29</v>
      </c>
      <c r="B303">
        <v>35.495693206787102</v>
      </c>
      <c r="C303">
        <v>35.56</v>
      </c>
    </row>
    <row r="304" spans="1:3" x14ac:dyDescent="0.35">
      <c r="A304" t="s">
        <v>29</v>
      </c>
      <c r="B304">
        <v>12.308399200439499</v>
      </c>
      <c r="C304">
        <v>11.04</v>
      </c>
    </row>
    <row r="305" spans="1:3" x14ac:dyDescent="0.35">
      <c r="A305" t="s">
        <v>29</v>
      </c>
      <c r="B305">
        <v>6.9270071983337402</v>
      </c>
      <c r="C305">
        <v>3.6500000000000004</v>
      </c>
    </row>
    <row r="306" spans="1:3" x14ac:dyDescent="0.35">
      <c r="A306" t="s">
        <v>29</v>
      </c>
      <c r="B306">
        <v>6.9238629341125497</v>
      </c>
      <c r="C306">
        <v>8.15</v>
      </c>
    </row>
    <row r="307" spans="1:3" x14ac:dyDescent="0.35">
      <c r="A307" t="s">
        <v>29</v>
      </c>
      <c r="B307">
        <v>6.9238629341125497</v>
      </c>
      <c r="C307">
        <v>5.24</v>
      </c>
    </row>
    <row r="308" spans="1:3" x14ac:dyDescent="0.35">
      <c r="A308" t="s">
        <v>29</v>
      </c>
      <c r="B308">
        <v>16.965282440185501</v>
      </c>
      <c r="C308">
        <v>13.88</v>
      </c>
    </row>
    <row r="309" spans="1:3" x14ac:dyDescent="0.35">
      <c r="A309" t="s">
        <v>29</v>
      </c>
      <c r="B309">
        <v>29.586986541748001</v>
      </c>
      <c r="C309">
        <v>33.94</v>
      </c>
    </row>
    <row r="310" spans="1:3" x14ac:dyDescent="0.35">
      <c r="A310" t="s">
        <v>14</v>
      </c>
      <c r="B310">
        <v>1.56845927238464</v>
      </c>
      <c r="C310">
        <v>3.49</v>
      </c>
    </row>
    <row r="311" spans="1:3" x14ac:dyDescent="0.35">
      <c r="A311" t="s">
        <v>14</v>
      </c>
      <c r="B311">
        <v>1.5601729154586801</v>
      </c>
      <c r="C311">
        <v>2.44</v>
      </c>
    </row>
    <row r="312" spans="1:3" x14ac:dyDescent="0.35">
      <c r="A312" t="s">
        <v>14</v>
      </c>
      <c r="B312">
        <v>2.3229398727417001</v>
      </c>
      <c r="C312">
        <v>2.54</v>
      </c>
    </row>
    <row r="313" spans="1:3" x14ac:dyDescent="0.35">
      <c r="A313" t="s">
        <v>14</v>
      </c>
      <c r="B313">
        <v>2.6613113880157502</v>
      </c>
      <c r="C313">
        <v>2.58</v>
      </c>
    </row>
    <row r="314" spans="1:3" x14ac:dyDescent="0.35">
      <c r="A314" t="s">
        <v>14</v>
      </c>
      <c r="B314">
        <v>6.6161475181579599</v>
      </c>
      <c r="C314">
        <v>2.96</v>
      </c>
    </row>
    <row r="315" spans="1:3" x14ac:dyDescent="0.35">
      <c r="A315" t="s">
        <v>14</v>
      </c>
      <c r="B315">
        <v>1.4528992176055899</v>
      </c>
      <c r="C315">
        <v>2.8</v>
      </c>
    </row>
    <row r="316" spans="1:3" x14ac:dyDescent="0.35">
      <c r="A316" t="s">
        <v>14</v>
      </c>
      <c r="B316">
        <v>4.0383586883544904</v>
      </c>
      <c r="C316">
        <v>2.77</v>
      </c>
    </row>
    <row r="317" spans="1:3" x14ac:dyDescent="0.35">
      <c r="A317" t="s">
        <v>14</v>
      </c>
      <c r="B317">
        <v>2.1225728988647501</v>
      </c>
      <c r="C317">
        <v>3.08</v>
      </c>
    </row>
    <row r="318" spans="1:3" x14ac:dyDescent="0.35">
      <c r="A318" t="s">
        <v>14</v>
      </c>
      <c r="B318">
        <v>2.04465532302856</v>
      </c>
      <c r="C318">
        <v>2.78</v>
      </c>
    </row>
    <row r="319" spans="1:3" x14ac:dyDescent="0.35">
      <c r="A319" t="s">
        <v>14</v>
      </c>
      <c r="B319">
        <v>1.8728837966918901</v>
      </c>
      <c r="C319">
        <v>2.78</v>
      </c>
    </row>
    <row r="320" spans="1:3" x14ac:dyDescent="0.35">
      <c r="A320" t="s">
        <v>14</v>
      </c>
      <c r="B320">
        <v>4.5751504898071298</v>
      </c>
      <c r="C320">
        <v>3.27</v>
      </c>
    </row>
    <row r="321" spans="1:3" x14ac:dyDescent="0.35">
      <c r="A321" t="s">
        <v>14</v>
      </c>
      <c r="B321">
        <v>2.0597894191741899</v>
      </c>
      <c r="C321">
        <v>2.8</v>
      </c>
    </row>
    <row r="322" spans="1:3" x14ac:dyDescent="0.35">
      <c r="A322" t="s">
        <v>14</v>
      </c>
      <c r="B322">
        <v>7.6916785240173304</v>
      </c>
      <c r="C322">
        <v>2.79</v>
      </c>
    </row>
    <row r="323" spans="1:3" x14ac:dyDescent="0.35">
      <c r="A323" t="s">
        <v>14</v>
      </c>
      <c r="B323">
        <v>2.1116135120391801</v>
      </c>
      <c r="C323">
        <v>3</v>
      </c>
    </row>
    <row r="324" spans="1:3" x14ac:dyDescent="0.35">
      <c r="A324" t="s">
        <v>14</v>
      </c>
      <c r="B324">
        <v>10.3044652938843</v>
      </c>
      <c r="C324">
        <v>6.94</v>
      </c>
    </row>
    <row r="325" spans="1:3" x14ac:dyDescent="0.35">
      <c r="A325" t="s">
        <v>14</v>
      </c>
      <c r="B325">
        <v>20.255271911621101</v>
      </c>
      <c r="C325">
        <v>15.95</v>
      </c>
    </row>
    <row r="326" spans="1:3" x14ac:dyDescent="0.35">
      <c r="A326" t="s">
        <v>14</v>
      </c>
      <c r="B326">
        <v>11.0379428863525</v>
      </c>
      <c r="C326">
        <v>10.62</v>
      </c>
    </row>
    <row r="327" spans="1:3" x14ac:dyDescent="0.35">
      <c r="A327" t="s">
        <v>14</v>
      </c>
      <c r="B327">
        <v>32.603191375732401</v>
      </c>
      <c r="C327">
        <v>31.220000000000002</v>
      </c>
    </row>
    <row r="328" spans="1:3" x14ac:dyDescent="0.35">
      <c r="A328" t="s">
        <v>14</v>
      </c>
      <c r="B328">
        <v>2.3176739215850799</v>
      </c>
      <c r="C328">
        <v>2.59</v>
      </c>
    </row>
    <row r="329" spans="1:3" x14ac:dyDescent="0.35">
      <c r="A329" t="s">
        <v>14</v>
      </c>
      <c r="B329">
        <v>2.3176932334899898</v>
      </c>
      <c r="C329">
        <v>2.94</v>
      </c>
    </row>
    <row r="330" spans="1:3" x14ac:dyDescent="0.35">
      <c r="A330" t="s">
        <v>14</v>
      </c>
      <c r="B330">
        <v>2.3176932334899898</v>
      </c>
      <c r="C330">
        <v>3.07</v>
      </c>
    </row>
    <row r="331" spans="1:3" x14ac:dyDescent="0.35">
      <c r="A331" t="s">
        <v>14</v>
      </c>
      <c r="B331">
        <v>2.2102460861206099</v>
      </c>
      <c r="C331">
        <v>3.6799999999999997</v>
      </c>
    </row>
    <row r="332" spans="1:3" x14ac:dyDescent="0.35">
      <c r="A332" t="s">
        <v>14</v>
      </c>
      <c r="B332">
        <v>2.91533327102661</v>
      </c>
      <c r="C332">
        <v>3.9099999999999997</v>
      </c>
    </row>
    <row r="333" spans="1:3" x14ac:dyDescent="0.35">
      <c r="A333" t="s">
        <v>19</v>
      </c>
      <c r="B333">
        <v>1.48227643966675</v>
      </c>
      <c r="C333">
        <v>3.8</v>
      </c>
    </row>
    <row r="334" spans="1:3" x14ac:dyDescent="0.35">
      <c r="A334" t="s">
        <v>19</v>
      </c>
      <c r="B334">
        <v>1.49347949028015</v>
      </c>
      <c r="C334">
        <v>1.89</v>
      </c>
    </row>
    <row r="335" spans="1:3" x14ac:dyDescent="0.35">
      <c r="A335" t="s">
        <v>19</v>
      </c>
      <c r="B335">
        <v>2.91453289985657</v>
      </c>
      <c r="C335">
        <v>1.88</v>
      </c>
    </row>
    <row r="336" spans="1:3" x14ac:dyDescent="0.35">
      <c r="A336" t="s">
        <v>19</v>
      </c>
      <c r="B336">
        <v>5.6254501342773402</v>
      </c>
      <c r="C336">
        <v>2.94</v>
      </c>
    </row>
    <row r="337" spans="1:3" x14ac:dyDescent="0.35">
      <c r="A337" t="s">
        <v>19</v>
      </c>
      <c r="B337">
        <v>3.74091625213623</v>
      </c>
      <c r="C337">
        <v>3.24</v>
      </c>
    </row>
    <row r="338" spans="1:3" x14ac:dyDescent="0.35">
      <c r="A338" t="s">
        <v>19</v>
      </c>
      <c r="B338">
        <v>7.9284815788268999</v>
      </c>
      <c r="C338">
        <v>6</v>
      </c>
    </row>
    <row r="339" spans="1:3" x14ac:dyDescent="0.35">
      <c r="A339" t="s">
        <v>19</v>
      </c>
      <c r="B339">
        <v>7.8859295845031703</v>
      </c>
      <c r="C339">
        <v>6.21</v>
      </c>
    </row>
    <row r="340" spans="1:3" x14ac:dyDescent="0.35">
      <c r="A340" t="s">
        <v>19</v>
      </c>
      <c r="B340">
        <v>1.9899208545684799</v>
      </c>
      <c r="C340">
        <v>3.07</v>
      </c>
    </row>
    <row r="341" spans="1:3" x14ac:dyDescent="0.35">
      <c r="A341" t="s">
        <v>19</v>
      </c>
      <c r="B341">
        <v>7.6049075126648003</v>
      </c>
      <c r="C341">
        <v>4.82</v>
      </c>
    </row>
    <row r="342" spans="1:3" x14ac:dyDescent="0.35">
      <c r="A342" t="s">
        <v>19</v>
      </c>
      <c r="B342">
        <v>1.5725284814834599</v>
      </c>
      <c r="C342">
        <v>2.6900000000000004</v>
      </c>
    </row>
    <row r="343" spans="1:3" x14ac:dyDescent="0.35">
      <c r="A343" t="s">
        <v>19</v>
      </c>
      <c r="B343">
        <v>1.5771850347518901</v>
      </c>
      <c r="C343">
        <v>2.38</v>
      </c>
    </row>
    <row r="344" spans="1:3" x14ac:dyDescent="0.35">
      <c r="A344" t="s">
        <v>19</v>
      </c>
      <c r="B344">
        <v>2.0701386928558398</v>
      </c>
      <c r="C344">
        <v>2.89</v>
      </c>
    </row>
    <row r="345" spans="1:3" x14ac:dyDescent="0.35">
      <c r="A345" t="s">
        <v>19</v>
      </c>
      <c r="B345">
        <v>5.7497696876525897</v>
      </c>
      <c r="C345">
        <v>5.07</v>
      </c>
    </row>
    <row r="346" spans="1:3" x14ac:dyDescent="0.35">
      <c r="A346" t="s">
        <v>19</v>
      </c>
      <c r="B346">
        <v>1.6968082189559901</v>
      </c>
      <c r="C346">
        <v>2.67</v>
      </c>
    </row>
    <row r="347" spans="1:3" x14ac:dyDescent="0.35">
      <c r="A347" t="s">
        <v>19</v>
      </c>
      <c r="B347">
        <v>9.0180139541625994</v>
      </c>
      <c r="C347">
        <v>5.6</v>
      </c>
    </row>
    <row r="348" spans="1:3" x14ac:dyDescent="0.35">
      <c r="A348" t="s">
        <v>19</v>
      </c>
      <c r="B348">
        <v>2.3154628276825</v>
      </c>
      <c r="C348">
        <v>3.2399999999999993</v>
      </c>
    </row>
    <row r="349" spans="1:3" x14ac:dyDescent="0.35">
      <c r="A349" t="s">
        <v>19</v>
      </c>
      <c r="B349">
        <v>11.4971218109131</v>
      </c>
      <c r="C349">
        <v>9.36</v>
      </c>
    </row>
    <row r="350" spans="1:3" x14ac:dyDescent="0.35">
      <c r="A350" t="s">
        <v>19</v>
      </c>
      <c r="B350">
        <v>20.101802825927699</v>
      </c>
      <c r="C350">
        <v>16.97</v>
      </c>
    </row>
    <row r="351" spans="1:3" x14ac:dyDescent="0.35">
      <c r="A351" t="s">
        <v>19</v>
      </c>
      <c r="B351">
        <v>4.1638946533203098</v>
      </c>
      <c r="C351">
        <v>5.27</v>
      </c>
    </row>
    <row r="352" spans="1:3" x14ac:dyDescent="0.35">
      <c r="A352" t="s">
        <v>19</v>
      </c>
      <c r="B352">
        <v>12.1510019302368</v>
      </c>
      <c r="C352">
        <v>12.48</v>
      </c>
    </row>
    <row r="353" spans="1:3" x14ac:dyDescent="0.35">
      <c r="A353" t="s">
        <v>19</v>
      </c>
      <c r="B353">
        <v>33.029167175292997</v>
      </c>
      <c r="C353">
        <v>31.16</v>
      </c>
    </row>
    <row r="354" spans="1:3" x14ac:dyDescent="0.35">
      <c r="A354" t="s">
        <v>19</v>
      </c>
      <c r="B354">
        <v>9.5702066421508807</v>
      </c>
      <c r="C354">
        <v>7.2</v>
      </c>
    </row>
    <row r="355" spans="1:3" x14ac:dyDescent="0.35">
      <c r="A355" t="s">
        <v>19</v>
      </c>
      <c r="B355">
        <v>3.4525215625762899</v>
      </c>
      <c r="C355">
        <v>4.03</v>
      </c>
    </row>
    <row r="356" spans="1:3" x14ac:dyDescent="0.35">
      <c r="A356" t="s">
        <v>19</v>
      </c>
      <c r="B356">
        <v>3.4494559764862101</v>
      </c>
      <c r="C356">
        <v>4.95</v>
      </c>
    </row>
    <row r="357" spans="1:3" x14ac:dyDescent="0.35">
      <c r="A357" t="s">
        <v>19</v>
      </c>
      <c r="B357">
        <v>3.4494559764862101</v>
      </c>
      <c r="C357">
        <v>4.58</v>
      </c>
    </row>
    <row r="358" spans="1:3" x14ac:dyDescent="0.35">
      <c r="A358" t="s">
        <v>19</v>
      </c>
      <c r="B358">
        <v>13.0069427490234</v>
      </c>
      <c r="C358">
        <v>9.4499999999999993</v>
      </c>
    </row>
    <row r="359" spans="1:3" x14ac:dyDescent="0.35">
      <c r="A359" t="s">
        <v>19</v>
      </c>
      <c r="B359">
        <v>22.483201980590799</v>
      </c>
      <c r="C359">
        <v>22.26</v>
      </c>
    </row>
    <row r="360" spans="1:3" x14ac:dyDescent="0.35">
      <c r="A360" t="s">
        <v>19</v>
      </c>
      <c r="B360">
        <v>9.4513435363769496</v>
      </c>
      <c r="C360">
        <v>12.15</v>
      </c>
    </row>
    <row r="361" spans="1:3" x14ac:dyDescent="0.35">
      <c r="A361" t="s">
        <v>19</v>
      </c>
      <c r="B361">
        <v>2.5710477828979501</v>
      </c>
      <c r="C361">
        <v>4.12</v>
      </c>
    </row>
    <row r="362" spans="1:3" x14ac:dyDescent="0.35">
      <c r="A362" t="s">
        <v>22</v>
      </c>
      <c r="B362">
        <v>2.88178634643555</v>
      </c>
      <c r="C362">
        <v>4.09</v>
      </c>
    </row>
    <row r="363" spans="1:3" x14ac:dyDescent="0.35">
      <c r="A363" t="s">
        <v>22</v>
      </c>
      <c r="B363">
        <v>2.8721008300781299</v>
      </c>
      <c r="C363">
        <v>2.12</v>
      </c>
    </row>
    <row r="364" spans="1:3" x14ac:dyDescent="0.35">
      <c r="A364" t="s">
        <v>22</v>
      </c>
      <c r="B364">
        <v>2.51152896881104</v>
      </c>
      <c r="C364">
        <v>1.91</v>
      </c>
    </row>
    <row r="365" spans="1:3" x14ac:dyDescent="0.35">
      <c r="A365" t="s">
        <v>22</v>
      </c>
      <c r="B365">
        <v>3.9944009780883798</v>
      </c>
      <c r="C365">
        <v>1.82</v>
      </c>
    </row>
    <row r="366" spans="1:3" x14ac:dyDescent="0.35">
      <c r="A366" t="s">
        <v>22</v>
      </c>
      <c r="B366">
        <v>2.6888508796691899</v>
      </c>
      <c r="C366">
        <v>1.96</v>
      </c>
    </row>
    <row r="367" spans="1:3" x14ac:dyDescent="0.35">
      <c r="A367" t="s">
        <v>22</v>
      </c>
      <c r="B367">
        <v>6.8900947570800799</v>
      </c>
      <c r="C367">
        <v>2.0299999999999998</v>
      </c>
    </row>
    <row r="368" spans="1:3" x14ac:dyDescent="0.35">
      <c r="A368" t="s">
        <v>22</v>
      </c>
      <c r="B368">
        <v>6.9202075004577601</v>
      </c>
      <c r="C368">
        <v>3.23</v>
      </c>
    </row>
    <row r="369" spans="1:3" x14ac:dyDescent="0.35">
      <c r="A369" t="s">
        <v>22</v>
      </c>
      <c r="B369">
        <v>2.74417304992676</v>
      </c>
      <c r="C369">
        <v>3.08</v>
      </c>
    </row>
    <row r="370" spans="1:3" x14ac:dyDescent="0.35">
      <c r="A370" t="s">
        <v>22</v>
      </c>
      <c r="B370">
        <v>6.17327833175659</v>
      </c>
      <c r="C370">
        <v>2.85</v>
      </c>
    </row>
    <row r="371" spans="1:3" x14ac:dyDescent="0.35">
      <c r="A371" t="s">
        <v>22</v>
      </c>
      <c r="B371">
        <v>3.46857810020447</v>
      </c>
      <c r="C371">
        <v>3.91</v>
      </c>
    </row>
    <row r="372" spans="1:3" x14ac:dyDescent="0.35">
      <c r="A372" t="s">
        <v>22</v>
      </c>
      <c r="B372">
        <v>2.3596782684326199</v>
      </c>
      <c r="C372">
        <v>3.12</v>
      </c>
    </row>
    <row r="373" spans="1:3" x14ac:dyDescent="0.35">
      <c r="A373" t="s">
        <v>22</v>
      </c>
      <c r="B373">
        <v>3.2574110031127899</v>
      </c>
      <c r="C373">
        <v>3.54</v>
      </c>
    </row>
    <row r="374" spans="1:3" x14ac:dyDescent="0.35">
      <c r="A374" t="s">
        <v>22</v>
      </c>
      <c r="B374">
        <v>3.2625987529754599</v>
      </c>
      <c r="C374">
        <v>3.64</v>
      </c>
    </row>
    <row r="375" spans="1:3" x14ac:dyDescent="0.35">
      <c r="A375" t="s">
        <v>22</v>
      </c>
      <c r="B375">
        <v>4.9321317672729501</v>
      </c>
      <c r="C375">
        <v>4.16</v>
      </c>
    </row>
    <row r="376" spans="1:3" x14ac:dyDescent="0.35">
      <c r="A376" t="s">
        <v>22</v>
      </c>
      <c r="B376">
        <v>3.2767372131347701</v>
      </c>
      <c r="C376">
        <v>3.63</v>
      </c>
    </row>
    <row r="377" spans="1:3" x14ac:dyDescent="0.35">
      <c r="A377" t="s">
        <v>22</v>
      </c>
      <c r="B377">
        <v>7.8765211105346697</v>
      </c>
      <c r="C377">
        <v>3.61</v>
      </c>
    </row>
    <row r="378" spans="1:3" x14ac:dyDescent="0.35">
      <c r="A378" t="s">
        <v>22</v>
      </c>
      <c r="B378">
        <v>3.4100883007049601</v>
      </c>
      <c r="C378">
        <v>3.7199999999999998</v>
      </c>
    </row>
    <row r="379" spans="1:3" x14ac:dyDescent="0.35">
      <c r="A379" t="s">
        <v>22</v>
      </c>
      <c r="B379">
        <v>11.2758598327637</v>
      </c>
      <c r="C379">
        <v>7.1</v>
      </c>
    </row>
    <row r="380" spans="1:3" x14ac:dyDescent="0.35">
      <c r="A380" t="s">
        <v>22</v>
      </c>
      <c r="B380">
        <v>20.707105636596701</v>
      </c>
      <c r="C380">
        <v>16.899999999999999</v>
      </c>
    </row>
    <row r="381" spans="1:3" x14ac:dyDescent="0.35">
      <c r="A381" t="s">
        <v>22</v>
      </c>
      <c r="B381">
        <v>4.19998979568481</v>
      </c>
      <c r="C381">
        <v>4.1100000000000003</v>
      </c>
    </row>
    <row r="382" spans="1:3" x14ac:dyDescent="0.35">
      <c r="A382" t="s">
        <v>22</v>
      </c>
      <c r="B382">
        <v>12.203774452209499</v>
      </c>
      <c r="C382">
        <v>10.43</v>
      </c>
    </row>
    <row r="383" spans="1:3" x14ac:dyDescent="0.35">
      <c r="A383" t="s">
        <v>22</v>
      </c>
      <c r="B383">
        <v>32.997356414794901</v>
      </c>
      <c r="C383">
        <v>30.84</v>
      </c>
    </row>
    <row r="384" spans="1:3" x14ac:dyDescent="0.35">
      <c r="A384" t="s">
        <v>22</v>
      </c>
      <c r="B384">
        <v>10.8149366378784</v>
      </c>
      <c r="C384">
        <v>4.74</v>
      </c>
    </row>
    <row r="385" spans="1:3" x14ac:dyDescent="0.35">
      <c r="A385" t="s">
        <v>22</v>
      </c>
      <c r="B385">
        <v>3.6535696983337398</v>
      </c>
      <c r="C385">
        <v>2.7</v>
      </c>
    </row>
    <row r="386" spans="1:3" x14ac:dyDescent="0.35">
      <c r="A386" t="s">
        <v>22</v>
      </c>
      <c r="B386">
        <v>3.6473658084869398</v>
      </c>
      <c r="C386">
        <v>3.96</v>
      </c>
    </row>
    <row r="387" spans="1:3" x14ac:dyDescent="0.35">
      <c r="A387" t="s">
        <v>22</v>
      </c>
      <c r="B387">
        <v>3.6473658084869398</v>
      </c>
      <c r="C387">
        <v>2.89</v>
      </c>
    </row>
    <row r="388" spans="1:3" x14ac:dyDescent="0.35">
      <c r="A388" t="s">
        <v>22</v>
      </c>
      <c r="B388">
        <v>3.67012643814087</v>
      </c>
      <c r="C388">
        <v>4.3899999999999997</v>
      </c>
    </row>
    <row r="389" spans="1:3" x14ac:dyDescent="0.35">
      <c r="A389" t="s">
        <v>22</v>
      </c>
      <c r="B389">
        <v>3.9009268283843999</v>
      </c>
      <c r="C389">
        <v>4.3600000000000003</v>
      </c>
    </row>
    <row r="390" spans="1:3" x14ac:dyDescent="0.35">
      <c r="A390" t="s">
        <v>24</v>
      </c>
      <c r="B390">
        <v>1.25166893005371</v>
      </c>
      <c r="C390">
        <v>3.55</v>
      </c>
    </row>
    <row r="391" spans="1:3" x14ac:dyDescent="0.35">
      <c r="A391" t="s">
        <v>24</v>
      </c>
      <c r="B391">
        <v>1.23880898952484</v>
      </c>
      <c r="C391">
        <v>2.4900000000000002</v>
      </c>
    </row>
    <row r="392" spans="1:3" x14ac:dyDescent="0.35">
      <c r="A392" t="s">
        <v>24</v>
      </c>
      <c r="B392">
        <v>2.3814320564270002</v>
      </c>
      <c r="C392">
        <v>2.5</v>
      </c>
    </row>
    <row r="393" spans="1:3" x14ac:dyDescent="0.35">
      <c r="A393" t="s">
        <v>24</v>
      </c>
      <c r="B393">
        <v>4.8460016250610396</v>
      </c>
      <c r="C393">
        <v>3.77</v>
      </c>
    </row>
    <row r="394" spans="1:3" x14ac:dyDescent="0.35">
      <c r="A394" t="s">
        <v>24</v>
      </c>
      <c r="B394">
        <v>3.0253353118896502</v>
      </c>
      <c r="C394">
        <v>2.84</v>
      </c>
    </row>
    <row r="395" spans="1:3" x14ac:dyDescent="0.35">
      <c r="A395" t="s">
        <v>24</v>
      </c>
      <c r="B395">
        <v>6.9653916358947798</v>
      </c>
      <c r="C395">
        <v>3.11</v>
      </c>
    </row>
    <row r="396" spans="1:3" x14ac:dyDescent="0.35">
      <c r="A396" t="s">
        <v>24</v>
      </c>
      <c r="B396">
        <v>7.2943768501281703</v>
      </c>
      <c r="C396">
        <v>4.4000000000000004</v>
      </c>
    </row>
    <row r="397" spans="1:3" x14ac:dyDescent="0.35">
      <c r="A397" t="s">
        <v>24</v>
      </c>
      <c r="B397">
        <v>1.3411569595336901</v>
      </c>
      <c r="C397">
        <v>2.54</v>
      </c>
    </row>
    <row r="398" spans="1:3" x14ac:dyDescent="0.35">
      <c r="A398" t="s">
        <v>24</v>
      </c>
      <c r="B398">
        <v>6.6315684318542498</v>
      </c>
      <c r="C398">
        <v>2.89</v>
      </c>
    </row>
    <row r="399" spans="1:3" x14ac:dyDescent="0.35">
      <c r="A399" t="s">
        <v>24</v>
      </c>
      <c r="B399">
        <v>1.7189974784851101</v>
      </c>
      <c r="C399">
        <v>2.33</v>
      </c>
    </row>
    <row r="400" spans="1:3" x14ac:dyDescent="0.35">
      <c r="A400" t="s">
        <v>24</v>
      </c>
      <c r="B400">
        <v>1.2768319845199601</v>
      </c>
      <c r="C400">
        <v>2.1</v>
      </c>
    </row>
    <row r="401" spans="1:3" x14ac:dyDescent="0.35">
      <c r="A401" t="s">
        <v>24</v>
      </c>
      <c r="B401">
        <v>1.6521128416061399</v>
      </c>
      <c r="C401">
        <v>2.0699999999999998</v>
      </c>
    </row>
    <row r="402" spans="1:3" x14ac:dyDescent="0.35">
      <c r="A402" t="s">
        <v>24</v>
      </c>
      <c r="B402">
        <v>1.6122235059738199</v>
      </c>
      <c r="C402">
        <v>2.25</v>
      </c>
    </row>
    <row r="403" spans="1:3" x14ac:dyDescent="0.35">
      <c r="A403" t="s">
        <v>24</v>
      </c>
      <c r="B403">
        <v>5.0833597183227504</v>
      </c>
      <c r="C403">
        <v>2.88</v>
      </c>
    </row>
    <row r="404" spans="1:3" x14ac:dyDescent="0.35">
      <c r="A404" t="s">
        <v>24</v>
      </c>
      <c r="B404">
        <v>1.73391914367676</v>
      </c>
      <c r="C404">
        <v>2.2400000000000002</v>
      </c>
    </row>
    <row r="405" spans="1:3" x14ac:dyDescent="0.35">
      <c r="A405" t="s">
        <v>24</v>
      </c>
      <c r="B405">
        <v>8.0999031066894496</v>
      </c>
      <c r="C405">
        <v>3.48</v>
      </c>
    </row>
    <row r="406" spans="1:3" x14ac:dyDescent="0.35">
      <c r="A406" t="s">
        <v>24</v>
      </c>
      <c r="B406">
        <v>1.9118264913559</v>
      </c>
      <c r="C406">
        <v>2.6100000000000003</v>
      </c>
    </row>
    <row r="407" spans="1:3" x14ac:dyDescent="0.35">
      <c r="A407" t="s">
        <v>24</v>
      </c>
      <c r="B407">
        <v>10.8453168869019</v>
      </c>
      <c r="C407">
        <v>10.7</v>
      </c>
    </row>
    <row r="408" spans="1:3" x14ac:dyDescent="0.35">
      <c r="A408" t="s">
        <v>24</v>
      </c>
      <c r="B408">
        <v>20.6470947265625</v>
      </c>
      <c r="C408">
        <v>19.760000000000002</v>
      </c>
    </row>
    <row r="409" spans="1:3" x14ac:dyDescent="0.35">
      <c r="A409" t="s">
        <v>24</v>
      </c>
      <c r="B409">
        <v>2.52888154983521</v>
      </c>
      <c r="C409">
        <v>4.18</v>
      </c>
    </row>
    <row r="410" spans="1:3" x14ac:dyDescent="0.35">
      <c r="A410" t="s">
        <v>24</v>
      </c>
      <c r="B410">
        <v>11.6429347991943</v>
      </c>
      <c r="C410">
        <v>14.76</v>
      </c>
    </row>
    <row r="411" spans="1:3" x14ac:dyDescent="0.35">
      <c r="A411" t="s">
        <v>24</v>
      </c>
      <c r="B411">
        <v>32.638065338134801</v>
      </c>
      <c r="C411">
        <v>32.950000000000003</v>
      </c>
    </row>
    <row r="412" spans="1:3" x14ac:dyDescent="0.35">
      <c r="A412" t="s">
        <v>24</v>
      </c>
      <c r="B412">
        <v>10.251777648925801</v>
      </c>
      <c r="C412">
        <v>4.1399999999999997</v>
      </c>
    </row>
    <row r="413" spans="1:3" x14ac:dyDescent="0.35">
      <c r="A413" t="s">
        <v>24</v>
      </c>
      <c r="B413">
        <v>2.3104209899902299</v>
      </c>
      <c r="C413">
        <v>3.26</v>
      </c>
    </row>
    <row r="414" spans="1:3" x14ac:dyDescent="0.35">
      <c r="A414" t="s">
        <v>24</v>
      </c>
      <c r="B414">
        <v>2.3104405403137198</v>
      </c>
      <c r="C414">
        <v>3.34</v>
      </c>
    </row>
    <row r="415" spans="1:3" x14ac:dyDescent="0.35">
      <c r="A415" t="s">
        <v>24</v>
      </c>
      <c r="B415">
        <v>2.3104405403137198</v>
      </c>
      <c r="C415">
        <v>3.32</v>
      </c>
    </row>
    <row r="416" spans="1:3" x14ac:dyDescent="0.35">
      <c r="A416" t="s">
        <v>24</v>
      </c>
      <c r="B416">
        <v>21.5687770843506</v>
      </c>
      <c r="C416">
        <v>26.22</v>
      </c>
    </row>
    <row r="417" spans="1:3" x14ac:dyDescent="0.35">
      <c r="A417" t="s">
        <v>24</v>
      </c>
      <c r="B417">
        <v>3.10292649269104</v>
      </c>
      <c r="C417">
        <v>5.03</v>
      </c>
    </row>
    <row r="418" spans="1:3" x14ac:dyDescent="0.35">
      <c r="A418" t="s">
        <v>24</v>
      </c>
      <c r="B418">
        <v>2.25711274147034</v>
      </c>
      <c r="C418">
        <v>2.4499999999999997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D8A-F5AB-4C04-B10A-A94DF1D4C547}">
  <dimension ref="A1:V78"/>
  <sheetViews>
    <sheetView topLeftCell="A9" zoomScale="70" zoomScaleNormal="70" workbookViewId="0">
      <selection activeCell="U33" sqref="U33"/>
    </sheetView>
  </sheetViews>
  <sheetFormatPr defaultRowHeight="14.5" x14ac:dyDescent="0.35"/>
  <cols>
    <col min="3" max="3" width="13.1796875" bestFit="1" customWidth="1"/>
  </cols>
  <sheetData>
    <row r="1" spans="1:22" x14ac:dyDescent="0.35">
      <c r="A1" s="1" t="s">
        <v>62</v>
      </c>
      <c r="B1" t="s">
        <v>63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15</v>
      </c>
      <c r="J1">
        <v>0</v>
      </c>
      <c r="K1">
        <v>0</v>
      </c>
      <c r="M1" s="3">
        <f>J1+$I$2</f>
        <v>1.4575945247019666</v>
      </c>
      <c r="N1" s="3">
        <f>K1-$I$2</f>
        <v>-1.4575945247019666</v>
      </c>
      <c r="Q1">
        <v>1</v>
      </c>
      <c r="R1" t="s">
        <v>8</v>
      </c>
      <c r="S1" s="3">
        <v>3.165</v>
      </c>
      <c r="U1" t="s">
        <v>9</v>
      </c>
      <c r="V1">
        <v>10.3</v>
      </c>
    </row>
    <row r="2" spans="1:22" x14ac:dyDescent="0.35">
      <c r="B2" t="s">
        <v>27</v>
      </c>
      <c r="C2" s="3">
        <v>3.7233855724334699</v>
      </c>
      <c r="D2" s="3">
        <v>3.6745406824146984</v>
      </c>
      <c r="E2" s="3">
        <f>C2-D2</f>
        <v>4.8844890018771459E-2</v>
      </c>
      <c r="F2" s="3">
        <f>E2^2</f>
        <v>2.3858232809458799E-3</v>
      </c>
      <c r="G2" s="4">
        <f>AVERAGE(E2:E78)</f>
        <v>0.61860775286269531</v>
      </c>
      <c r="H2">
        <f>_xlfn.STDEV.S(C2:C78)</f>
        <v>2.0690280705207735</v>
      </c>
      <c r="I2" s="3">
        <f>G13</f>
        <v>1.4575945247019666</v>
      </c>
      <c r="J2">
        <v>1</v>
      </c>
      <c r="K2">
        <v>1</v>
      </c>
      <c r="M2" s="3">
        <f>J2+$I$2</f>
        <v>2.4575945247019666</v>
      </c>
      <c r="N2" s="3">
        <f>K2-$I$2</f>
        <v>-0.4575945247019666</v>
      </c>
      <c r="Q2">
        <v>2</v>
      </c>
      <c r="R2" t="s">
        <v>12</v>
      </c>
      <c r="S2" s="3">
        <v>6.06</v>
      </c>
    </row>
    <row r="3" spans="1:22" x14ac:dyDescent="0.35">
      <c r="B3" t="s">
        <v>27</v>
      </c>
      <c r="C3" s="3">
        <v>5.72916555404663</v>
      </c>
      <c r="D3" s="3">
        <v>5.7414698162729652</v>
      </c>
      <c r="E3" s="3">
        <f t="shared" ref="E3:E66" si="0">C3-D3</f>
        <v>-1.2304262226335183E-2</v>
      </c>
      <c r="F3" s="3">
        <f t="shared" ref="F3:F66" si="1">E3^2</f>
        <v>1.5139486893441884E-4</v>
      </c>
      <c r="J3">
        <v>2</v>
      </c>
      <c r="K3">
        <v>2</v>
      </c>
      <c r="M3" s="3">
        <f t="shared" ref="M3:M12" si="2">J3+$I$2</f>
        <v>3.4575945247019666</v>
      </c>
      <c r="N3" s="3">
        <f t="shared" ref="N3:N12" si="3">K3-$I$2</f>
        <v>0.5424054752980334</v>
      </c>
    </row>
    <row r="4" spans="1:22" x14ac:dyDescent="0.35">
      <c r="B4" t="s">
        <v>27</v>
      </c>
      <c r="C4" s="3">
        <v>5.0082039833068901</v>
      </c>
      <c r="D4" s="3">
        <v>5.6430446194225716</v>
      </c>
      <c r="E4" s="3">
        <f t="shared" si="0"/>
        <v>-0.63484063611568153</v>
      </c>
      <c r="F4" s="3">
        <f t="shared" si="1"/>
        <v>0.4030226332637632</v>
      </c>
      <c r="J4">
        <v>3</v>
      </c>
      <c r="K4">
        <v>3</v>
      </c>
      <c r="M4" s="3">
        <f t="shared" si="2"/>
        <v>4.4575945247019666</v>
      </c>
      <c r="N4" s="3">
        <f t="shared" si="3"/>
        <v>1.5424054752980334</v>
      </c>
      <c r="R4" t="s">
        <v>15</v>
      </c>
      <c r="S4" s="5">
        <v>1.46</v>
      </c>
    </row>
    <row r="5" spans="1:22" x14ac:dyDescent="0.35">
      <c r="B5" t="s">
        <v>27</v>
      </c>
      <c r="C5" s="3">
        <v>4.4980382919311497</v>
      </c>
      <c r="D5" s="3">
        <v>4.4947506561679793</v>
      </c>
      <c r="E5" s="3">
        <f t="shared" si="0"/>
        <v>3.2876357631703712E-3</v>
      </c>
      <c r="F5" s="3">
        <f t="shared" si="1"/>
        <v>1.080854891127683E-5</v>
      </c>
      <c r="J5">
        <v>4</v>
      </c>
      <c r="K5">
        <v>4</v>
      </c>
      <c r="M5" s="3">
        <f t="shared" si="2"/>
        <v>5.4575945247019666</v>
      </c>
      <c r="N5" s="3">
        <f t="shared" si="3"/>
        <v>2.5424054752980334</v>
      </c>
    </row>
    <row r="6" spans="1:22" x14ac:dyDescent="0.35">
      <c r="B6" t="s">
        <v>27</v>
      </c>
      <c r="C6" s="3">
        <v>3.95935106277466</v>
      </c>
      <c r="D6" s="3">
        <v>3.4448818897637796</v>
      </c>
      <c r="E6" s="3">
        <f t="shared" si="0"/>
        <v>0.51446917301088035</v>
      </c>
      <c r="F6" s="3">
        <f t="shared" si="1"/>
        <v>0.26467852997849917</v>
      </c>
      <c r="H6" s="3">
        <f>MAX(C2:C78)</f>
        <v>10.729395866394</v>
      </c>
      <c r="J6">
        <v>5</v>
      </c>
      <c r="K6">
        <v>5</v>
      </c>
      <c r="M6" s="3">
        <f t="shared" si="2"/>
        <v>6.4575945247019666</v>
      </c>
      <c r="N6" s="3">
        <f t="shared" si="3"/>
        <v>3.5424054752980334</v>
      </c>
      <c r="R6" t="s">
        <v>18</v>
      </c>
      <c r="S6">
        <v>0.61860775286269531</v>
      </c>
    </row>
    <row r="7" spans="1:22" x14ac:dyDescent="0.35">
      <c r="B7" t="s">
        <v>27</v>
      </c>
      <c r="C7" s="3">
        <v>5.4652352333068901</v>
      </c>
      <c r="D7" s="3">
        <v>5.3477690288713902</v>
      </c>
      <c r="E7" s="3">
        <f t="shared" si="0"/>
        <v>0.11746620443549993</v>
      </c>
      <c r="F7" s="3">
        <f t="shared" si="1"/>
        <v>1.3798309184482663E-2</v>
      </c>
      <c r="H7" s="3">
        <f>MAX(D2:D78)</f>
        <v>10.14</v>
      </c>
      <c r="J7">
        <v>6</v>
      </c>
      <c r="K7">
        <v>6</v>
      </c>
      <c r="M7" s="3">
        <f t="shared" si="2"/>
        <v>7.4575945247019666</v>
      </c>
      <c r="N7" s="3">
        <f t="shared" si="3"/>
        <v>4.5424054752980334</v>
      </c>
    </row>
    <row r="8" spans="1:22" x14ac:dyDescent="0.35">
      <c r="B8" t="s">
        <v>27</v>
      </c>
      <c r="C8" s="3">
        <v>4.2184967994689897</v>
      </c>
      <c r="D8" s="3">
        <v>4.363517060367454</v>
      </c>
      <c r="E8" s="3">
        <f t="shared" si="0"/>
        <v>-0.14502026089846431</v>
      </c>
      <c r="F8" s="3">
        <f t="shared" si="1"/>
        <v>2.1030876071058659E-2</v>
      </c>
      <c r="J8">
        <v>7</v>
      </c>
      <c r="K8">
        <v>7</v>
      </c>
      <c r="M8" s="3">
        <f t="shared" si="2"/>
        <v>8.4575945247019675</v>
      </c>
      <c r="N8" s="3">
        <f t="shared" si="3"/>
        <v>5.5424054752980334</v>
      </c>
    </row>
    <row r="9" spans="1:22" x14ac:dyDescent="0.35">
      <c r="B9" t="s">
        <v>27</v>
      </c>
      <c r="C9" s="3">
        <v>3.7128424644470202</v>
      </c>
      <c r="D9" s="3">
        <v>2.5918635170603674</v>
      </c>
      <c r="E9" s="3">
        <f t="shared" si="0"/>
        <v>1.1209789473866527</v>
      </c>
      <c r="F9" s="3">
        <f t="shared" si="1"/>
        <v>1.256593800484088</v>
      </c>
      <c r="J9">
        <v>8</v>
      </c>
      <c r="K9">
        <v>8</v>
      </c>
      <c r="M9" s="3">
        <f t="shared" si="2"/>
        <v>9.4575945247019675</v>
      </c>
      <c r="N9" s="3">
        <f t="shared" si="3"/>
        <v>6.5424054752980334</v>
      </c>
    </row>
    <row r="10" spans="1:22" x14ac:dyDescent="0.35">
      <c r="B10" t="s">
        <v>27</v>
      </c>
      <c r="C10" s="3">
        <v>3.67661809921265</v>
      </c>
      <c r="D10" s="3">
        <v>3.8385826771653537</v>
      </c>
      <c r="E10" s="3">
        <f t="shared" si="0"/>
        <v>-0.16196457795270369</v>
      </c>
      <c r="F10" s="3">
        <f t="shared" si="1"/>
        <v>2.6232524511397431E-2</v>
      </c>
      <c r="J10">
        <v>9</v>
      </c>
      <c r="K10">
        <v>9</v>
      </c>
      <c r="M10" s="3">
        <f t="shared" si="2"/>
        <v>10.457594524701967</v>
      </c>
      <c r="N10" s="3">
        <f t="shared" si="3"/>
        <v>7.5424054752980334</v>
      </c>
    </row>
    <row r="11" spans="1:22" x14ac:dyDescent="0.35">
      <c r="B11" t="s">
        <v>27</v>
      </c>
      <c r="C11" s="3">
        <v>3.51528763771057</v>
      </c>
      <c r="D11" s="3">
        <v>2.1325459317585302</v>
      </c>
      <c r="E11" s="3">
        <f t="shared" si="0"/>
        <v>1.3827417059520397</v>
      </c>
      <c r="F11" s="3">
        <f t="shared" si="1"/>
        <v>1.911974625379157</v>
      </c>
      <c r="J11">
        <v>10</v>
      </c>
      <c r="K11">
        <v>10</v>
      </c>
      <c r="M11" s="3">
        <f t="shared" si="2"/>
        <v>11.457594524701967</v>
      </c>
      <c r="N11" s="3">
        <f t="shared" si="3"/>
        <v>8.5424054752980325</v>
      </c>
    </row>
    <row r="12" spans="1:22" x14ac:dyDescent="0.35">
      <c r="B12" t="s">
        <v>27</v>
      </c>
      <c r="C12" s="3">
        <v>3.7748730182647701</v>
      </c>
      <c r="D12" s="3">
        <v>2.7887139107611545</v>
      </c>
      <c r="E12" s="3">
        <f t="shared" si="0"/>
        <v>0.98615910750361557</v>
      </c>
      <c r="F12" s="3">
        <f t="shared" si="1"/>
        <v>0.97250978531232757</v>
      </c>
      <c r="G12" s="1" t="s">
        <v>15</v>
      </c>
      <c r="J12">
        <v>11</v>
      </c>
      <c r="K12">
        <v>11</v>
      </c>
      <c r="M12" s="3">
        <f t="shared" si="2"/>
        <v>12.457594524701967</v>
      </c>
      <c r="N12" s="3">
        <f t="shared" si="3"/>
        <v>9.5424054752980325</v>
      </c>
    </row>
    <row r="13" spans="1:22" x14ac:dyDescent="0.35">
      <c r="B13" t="s">
        <v>27</v>
      </c>
      <c r="C13" s="3">
        <v>4.0807862281799299</v>
      </c>
      <c r="D13" s="3">
        <v>3.969816272965879</v>
      </c>
      <c r="E13" s="3">
        <f t="shared" si="0"/>
        <v>0.11096995521405084</v>
      </c>
      <c r="F13" s="3">
        <f t="shared" si="1"/>
        <v>1.2314330960208449E-2</v>
      </c>
      <c r="G13" s="11">
        <f>AVERAGE(F2:F78)^0.5</f>
        <v>1.4575945247019666</v>
      </c>
    </row>
    <row r="14" spans="1:22" x14ac:dyDescent="0.35">
      <c r="B14" t="s">
        <v>27</v>
      </c>
      <c r="C14" s="3">
        <v>3.3628726005554199</v>
      </c>
      <c r="D14" s="3">
        <v>2.8543307086614171</v>
      </c>
      <c r="E14" s="3">
        <f t="shared" si="0"/>
        <v>0.50854189189400278</v>
      </c>
      <c r="F14" s="3">
        <f t="shared" si="1"/>
        <v>0.25861485581113164</v>
      </c>
    </row>
    <row r="15" spans="1:22" x14ac:dyDescent="0.35">
      <c r="B15" t="s">
        <v>27</v>
      </c>
      <c r="C15" s="3">
        <v>6.0650968551635698</v>
      </c>
      <c r="D15" s="3">
        <v>5.3805774278215219</v>
      </c>
      <c r="E15" s="3">
        <f t="shared" si="0"/>
        <v>0.68451942734204785</v>
      </c>
      <c r="F15" s="3">
        <f t="shared" si="1"/>
        <v>0.46856684640868512</v>
      </c>
    </row>
    <row r="16" spans="1:22" x14ac:dyDescent="0.35">
      <c r="B16" t="s">
        <v>27</v>
      </c>
      <c r="C16" s="3">
        <v>4.0460782051086399</v>
      </c>
      <c r="D16" s="3">
        <v>4.0026246719160099</v>
      </c>
      <c r="E16" s="3">
        <f t="shared" si="0"/>
        <v>4.3453533192630012E-2</v>
      </c>
      <c r="F16" s="3">
        <f t="shared" si="1"/>
        <v>1.8882095469229983E-3</v>
      </c>
    </row>
    <row r="17" spans="2:6" x14ac:dyDescent="0.35">
      <c r="B17" t="s">
        <v>27</v>
      </c>
      <c r="C17" s="3">
        <v>2.98954105377197</v>
      </c>
      <c r="D17" s="3">
        <v>2.001312335958005</v>
      </c>
      <c r="E17" s="3">
        <f t="shared" si="0"/>
        <v>0.98822871781396504</v>
      </c>
      <c r="F17" s="3">
        <f t="shared" si="1"/>
        <v>0.97659599871223335</v>
      </c>
    </row>
    <row r="18" spans="2:6" x14ac:dyDescent="0.35">
      <c r="B18" t="s">
        <v>27</v>
      </c>
      <c r="C18" s="3">
        <v>3.56606197357178</v>
      </c>
      <c r="D18" s="3">
        <v>2.9527559055118111</v>
      </c>
      <c r="E18" s="3">
        <f t="shared" si="0"/>
        <v>0.6133060680599689</v>
      </c>
      <c r="F18" s="3">
        <f t="shared" si="1"/>
        <v>0.37614433311917922</v>
      </c>
    </row>
    <row r="19" spans="2:6" x14ac:dyDescent="0.35">
      <c r="B19" t="s">
        <v>27</v>
      </c>
      <c r="C19" s="3">
        <v>3.2850718498229998</v>
      </c>
      <c r="D19" s="3">
        <v>3.6417322834645671</v>
      </c>
      <c r="E19" s="3">
        <f t="shared" si="0"/>
        <v>-0.3566604336415673</v>
      </c>
      <c r="F19" s="3">
        <f t="shared" si="1"/>
        <v>0.12720666492539082</v>
      </c>
    </row>
    <row r="20" spans="2:6" x14ac:dyDescent="0.35">
      <c r="B20" t="s">
        <v>27</v>
      </c>
      <c r="C20" s="3">
        <v>6.0540742874145499</v>
      </c>
      <c r="D20" s="3">
        <v>5.577427821522309</v>
      </c>
      <c r="E20" s="3">
        <f t="shared" si="0"/>
        <v>0.47664646589224091</v>
      </c>
      <c r="F20" s="3">
        <f t="shared" si="1"/>
        <v>0.22719185344756318</v>
      </c>
    </row>
    <row r="21" spans="2:6" x14ac:dyDescent="0.35">
      <c r="B21" t="s">
        <v>30</v>
      </c>
      <c r="C21" s="3">
        <v>9.6872138977050799</v>
      </c>
      <c r="D21">
        <v>10.14</v>
      </c>
      <c r="E21" s="3">
        <f t="shared" si="0"/>
        <v>-0.45278610229492067</v>
      </c>
      <c r="F21" s="3">
        <f t="shared" si="1"/>
        <v>0.20501525443142637</v>
      </c>
    </row>
    <row r="22" spans="2:6" x14ac:dyDescent="0.35">
      <c r="B22" t="s">
        <v>30</v>
      </c>
      <c r="C22" s="3">
        <v>9.6946735382080096</v>
      </c>
      <c r="D22">
        <v>8.39</v>
      </c>
      <c r="E22" s="3">
        <f t="shared" si="0"/>
        <v>1.304673538208009</v>
      </c>
      <c r="F22" s="3">
        <f t="shared" si="1"/>
        <v>1.7021730413002052</v>
      </c>
    </row>
    <row r="23" spans="2:6" x14ac:dyDescent="0.35">
      <c r="B23" t="s">
        <v>30</v>
      </c>
      <c r="C23" s="3">
        <v>6.6786556243896502</v>
      </c>
      <c r="D23">
        <v>6.45</v>
      </c>
      <c r="E23" s="3">
        <f t="shared" si="0"/>
        <v>0.22865562438965004</v>
      </c>
      <c r="F23" s="3">
        <f t="shared" si="1"/>
        <v>5.2283394565020722E-2</v>
      </c>
    </row>
    <row r="24" spans="2:6" x14ac:dyDescent="0.35">
      <c r="B24" t="s">
        <v>30</v>
      </c>
      <c r="C24" s="3">
        <v>6.67747259140015</v>
      </c>
      <c r="D24">
        <v>6.53</v>
      </c>
      <c r="E24" s="3">
        <f t="shared" si="0"/>
        <v>0.14747259140014979</v>
      </c>
      <c r="F24" s="3">
        <f t="shared" si="1"/>
        <v>2.1748165214275535E-2</v>
      </c>
    </row>
    <row r="25" spans="2:6" x14ac:dyDescent="0.35">
      <c r="B25" t="s">
        <v>30</v>
      </c>
      <c r="C25" s="3">
        <v>5.9534277915954599</v>
      </c>
      <c r="D25">
        <v>6.95</v>
      </c>
      <c r="E25" s="3">
        <f t="shared" si="0"/>
        <v>-0.99657220840454031</v>
      </c>
      <c r="F25" s="3">
        <f t="shared" si="1"/>
        <v>0.9931561665643025</v>
      </c>
    </row>
    <row r="26" spans="2:6" x14ac:dyDescent="0.35">
      <c r="B26" t="s">
        <v>30</v>
      </c>
      <c r="C26" s="3">
        <v>9.7008914947509801</v>
      </c>
      <c r="D26">
        <v>7.71</v>
      </c>
      <c r="E26" s="3">
        <f t="shared" si="0"/>
        <v>1.9908914947509802</v>
      </c>
      <c r="F26" s="3">
        <f t="shared" si="1"/>
        <v>3.9636489438717919</v>
      </c>
    </row>
    <row r="27" spans="2:6" x14ac:dyDescent="0.35">
      <c r="B27" t="s">
        <v>30</v>
      </c>
      <c r="C27" s="3">
        <v>6.2986431121826199</v>
      </c>
      <c r="D27">
        <v>5.64</v>
      </c>
      <c r="E27" s="3">
        <f t="shared" si="0"/>
        <v>0.65864311218262017</v>
      </c>
      <c r="F27" s="3">
        <f t="shared" si="1"/>
        <v>0.43381074922560758</v>
      </c>
    </row>
    <row r="28" spans="2:6" x14ac:dyDescent="0.35">
      <c r="B28" t="s">
        <v>30</v>
      </c>
      <c r="C28" s="3">
        <v>6.79776906967163</v>
      </c>
      <c r="D28">
        <v>5.41</v>
      </c>
      <c r="E28" s="3">
        <f t="shared" si="0"/>
        <v>1.3877690696716298</v>
      </c>
      <c r="F28" s="3">
        <f t="shared" si="1"/>
        <v>1.9259029907372609</v>
      </c>
    </row>
    <row r="29" spans="2:6" x14ac:dyDescent="0.35">
      <c r="B29" t="s">
        <v>30</v>
      </c>
      <c r="C29" s="3">
        <v>7.3585228919982901</v>
      </c>
      <c r="D29">
        <v>4.8899999999999997</v>
      </c>
      <c r="E29" s="3">
        <f t="shared" si="0"/>
        <v>2.4685228919982904</v>
      </c>
      <c r="F29" s="3">
        <f t="shared" si="1"/>
        <v>6.0936052683196031</v>
      </c>
    </row>
    <row r="30" spans="2:6" x14ac:dyDescent="0.35">
      <c r="B30" t="s">
        <v>30</v>
      </c>
      <c r="C30" s="3">
        <v>7.6473846435546902</v>
      </c>
      <c r="D30">
        <v>5.6</v>
      </c>
      <c r="E30" s="3">
        <f t="shared" si="0"/>
        <v>2.0473846435546905</v>
      </c>
      <c r="F30" s="3">
        <f t="shared" si="1"/>
        <v>4.1917838786635668</v>
      </c>
    </row>
    <row r="31" spans="2:6" x14ac:dyDescent="0.35">
      <c r="B31" t="s">
        <v>30</v>
      </c>
      <c r="C31" s="3">
        <v>7.3640232086181596</v>
      </c>
      <c r="D31">
        <v>3.63</v>
      </c>
      <c r="E31" s="3">
        <f t="shared" si="0"/>
        <v>3.7340232086181597</v>
      </c>
      <c r="F31" s="3">
        <f t="shared" si="1"/>
        <v>13.942929322499056</v>
      </c>
    </row>
    <row r="32" spans="2:6" x14ac:dyDescent="0.35">
      <c r="B32" t="s">
        <v>30</v>
      </c>
      <c r="C32" s="3">
        <v>7.8464527130126998</v>
      </c>
      <c r="D32">
        <v>5.56</v>
      </c>
      <c r="E32" s="3">
        <f t="shared" si="0"/>
        <v>2.2864527130127001</v>
      </c>
      <c r="F32" s="3">
        <f t="shared" si="1"/>
        <v>5.2278660088431366</v>
      </c>
    </row>
    <row r="33" spans="2:6" x14ac:dyDescent="0.35">
      <c r="B33" t="s">
        <v>30</v>
      </c>
      <c r="C33" s="3">
        <v>9.5174188613891602</v>
      </c>
      <c r="D33">
        <v>7.41</v>
      </c>
      <c r="E33" s="3">
        <f t="shared" si="0"/>
        <v>2.10741886138916</v>
      </c>
      <c r="F33" s="3">
        <f t="shared" si="1"/>
        <v>4.4412142573387836</v>
      </c>
    </row>
    <row r="34" spans="2:6" x14ac:dyDescent="0.35">
      <c r="B34" t="s">
        <v>30</v>
      </c>
      <c r="C34" s="3">
        <v>7.9346795082092303</v>
      </c>
      <c r="D34">
        <v>5.45</v>
      </c>
      <c r="E34" s="3">
        <f t="shared" si="0"/>
        <v>2.4846795082092301</v>
      </c>
      <c r="F34" s="3">
        <f t="shared" si="1"/>
        <v>6.1736322585148615</v>
      </c>
    </row>
    <row r="35" spans="2:6" x14ac:dyDescent="0.35">
      <c r="B35" t="s">
        <v>30</v>
      </c>
      <c r="C35" s="3">
        <v>8.9559440612793004</v>
      </c>
      <c r="D35">
        <v>6.96</v>
      </c>
      <c r="E35" s="3">
        <f t="shared" si="0"/>
        <v>1.9959440612793005</v>
      </c>
      <c r="F35" s="3">
        <f t="shared" si="1"/>
        <v>3.9837926957561081</v>
      </c>
    </row>
    <row r="36" spans="2:6" x14ac:dyDescent="0.35">
      <c r="B36" t="s">
        <v>30</v>
      </c>
      <c r="C36" s="3">
        <v>9.66754150390625</v>
      </c>
      <c r="D36">
        <v>5.75</v>
      </c>
      <c r="E36" s="3">
        <f t="shared" si="0"/>
        <v>3.91754150390625</v>
      </c>
      <c r="F36" s="3">
        <f t="shared" si="1"/>
        <v>15.347131434828043</v>
      </c>
    </row>
    <row r="37" spans="2:6" x14ac:dyDescent="0.35">
      <c r="B37" t="s">
        <v>30</v>
      </c>
      <c r="C37" s="3">
        <v>9.6456165313720703</v>
      </c>
      <c r="D37">
        <v>7.18</v>
      </c>
      <c r="E37" s="3">
        <f t="shared" si="0"/>
        <v>2.4656165313720706</v>
      </c>
      <c r="F37" s="3">
        <f t="shared" si="1"/>
        <v>6.0792648797752404</v>
      </c>
    </row>
    <row r="38" spans="2:6" x14ac:dyDescent="0.35">
      <c r="B38" t="s">
        <v>30</v>
      </c>
      <c r="C38" s="3">
        <v>8.9654216766357404</v>
      </c>
      <c r="D38">
        <v>6</v>
      </c>
      <c r="E38" s="3">
        <f t="shared" si="0"/>
        <v>2.9654216766357404</v>
      </c>
      <c r="F38" s="3">
        <f t="shared" si="1"/>
        <v>8.7937257202611256</v>
      </c>
    </row>
    <row r="39" spans="2:6" x14ac:dyDescent="0.35">
      <c r="B39" t="s">
        <v>30</v>
      </c>
      <c r="C39" s="3">
        <v>8.0004119873046893</v>
      </c>
      <c r="D39">
        <v>5.08</v>
      </c>
      <c r="E39" s="3">
        <f t="shared" si="0"/>
        <v>2.9204119873046892</v>
      </c>
      <c r="F39" s="3">
        <f t="shared" si="1"/>
        <v>8.5288061755929245</v>
      </c>
    </row>
    <row r="40" spans="2:6" x14ac:dyDescent="0.35">
      <c r="B40" t="s">
        <v>30</v>
      </c>
      <c r="C40" s="3">
        <v>8.0004119873046893</v>
      </c>
      <c r="D40">
        <v>5.52</v>
      </c>
      <c r="E40" s="3">
        <f t="shared" si="0"/>
        <v>2.4804119873046897</v>
      </c>
      <c r="F40" s="3">
        <f t="shared" si="1"/>
        <v>6.1524436267647999</v>
      </c>
    </row>
    <row r="41" spans="2:6" x14ac:dyDescent="0.35">
      <c r="B41" t="s">
        <v>30</v>
      </c>
      <c r="C41" s="3">
        <v>8.3579778671264702</v>
      </c>
      <c r="D41">
        <v>6.44</v>
      </c>
      <c r="E41" s="3">
        <f t="shared" si="0"/>
        <v>1.9179778671264698</v>
      </c>
      <c r="F41" s="3">
        <f t="shared" si="1"/>
        <v>3.6786390987870021</v>
      </c>
    </row>
    <row r="42" spans="2:6" x14ac:dyDescent="0.35">
      <c r="B42" t="s">
        <v>30</v>
      </c>
      <c r="C42" s="3">
        <v>8.1165866851806605</v>
      </c>
      <c r="D42">
        <v>6.18</v>
      </c>
      <c r="E42" s="3">
        <f t="shared" si="0"/>
        <v>1.9365866851806608</v>
      </c>
      <c r="F42" s="3">
        <f t="shared" si="1"/>
        <v>3.7503679892190198</v>
      </c>
    </row>
    <row r="43" spans="2:6" x14ac:dyDescent="0.35">
      <c r="B43" t="s">
        <v>30</v>
      </c>
      <c r="C43" s="3">
        <v>10.573305130004901</v>
      </c>
      <c r="D43">
        <v>6.36</v>
      </c>
      <c r="E43" s="3">
        <f t="shared" si="0"/>
        <v>4.2133051300049003</v>
      </c>
      <c r="F43" s="3">
        <f t="shared" si="1"/>
        <v>17.75194011852561</v>
      </c>
    </row>
    <row r="44" spans="2:6" x14ac:dyDescent="0.35">
      <c r="B44" t="s">
        <v>30</v>
      </c>
      <c r="C44" s="3">
        <v>10.674643516540501</v>
      </c>
      <c r="D44">
        <v>8.66</v>
      </c>
      <c r="E44" s="3">
        <f t="shared" si="0"/>
        <v>2.0146435165405006</v>
      </c>
      <c r="F44" s="3">
        <f t="shared" si="1"/>
        <v>4.0587884987386742</v>
      </c>
    </row>
    <row r="45" spans="2:6" x14ac:dyDescent="0.35">
      <c r="B45" t="s">
        <v>30</v>
      </c>
      <c r="C45" s="3">
        <v>10.711098670959499</v>
      </c>
      <c r="D45">
        <v>8.77</v>
      </c>
      <c r="E45" s="3">
        <f t="shared" si="0"/>
        <v>1.9410986709594997</v>
      </c>
      <c r="F45" s="3">
        <f t="shared" si="1"/>
        <v>3.7678640504007364</v>
      </c>
    </row>
    <row r="46" spans="2:6" x14ac:dyDescent="0.35">
      <c r="B46" t="s">
        <v>30</v>
      </c>
      <c r="C46" s="3">
        <v>10.729395866394</v>
      </c>
      <c r="D46">
        <v>8.8699999999999992</v>
      </c>
      <c r="E46" s="3">
        <f t="shared" si="0"/>
        <v>1.8593958663940011</v>
      </c>
      <c r="F46" s="3">
        <f t="shared" si="1"/>
        <v>3.4573529879630982</v>
      </c>
    </row>
    <row r="47" spans="2:6" x14ac:dyDescent="0.35">
      <c r="B47" t="s">
        <v>8</v>
      </c>
      <c r="C47" s="3">
        <v>5.9937381744384801</v>
      </c>
      <c r="D47" s="3">
        <v>5.5200131233595799</v>
      </c>
      <c r="E47" s="3">
        <f t="shared" si="0"/>
        <v>0.47372505107890017</v>
      </c>
      <c r="F47" s="3">
        <f t="shared" si="1"/>
        <v>0.22441542401970657</v>
      </c>
    </row>
    <row r="48" spans="2:6" x14ac:dyDescent="0.35">
      <c r="B48" t="s">
        <v>8</v>
      </c>
      <c r="C48" s="3">
        <v>7.00988864898682</v>
      </c>
      <c r="D48" s="3">
        <v>7.1522309711286089</v>
      </c>
      <c r="E48" s="3">
        <f t="shared" si="0"/>
        <v>-0.14234232214178899</v>
      </c>
      <c r="F48" s="3">
        <f t="shared" si="1"/>
        <v>2.0261336672716831E-2</v>
      </c>
    </row>
    <row r="49" spans="2:6" x14ac:dyDescent="0.35">
      <c r="B49" t="s">
        <v>8</v>
      </c>
      <c r="C49" s="3">
        <v>4.24137687683106</v>
      </c>
      <c r="D49" s="3">
        <v>3.9041994750656164</v>
      </c>
      <c r="E49" s="3">
        <f t="shared" si="0"/>
        <v>0.33717740176544364</v>
      </c>
      <c r="F49" s="3">
        <f t="shared" si="1"/>
        <v>0.1136886002612954</v>
      </c>
    </row>
    <row r="50" spans="2:6" x14ac:dyDescent="0.35">
      <c r="B50" t="s">
        <v>8</v>
      </c>
      <c r="C50" s="3">
        <v>7.00988864898682</v>
      </c>
      <c r="D50" s="3">
        <v>7.0866141732283463</v>
      </c>
      <c r="E50" s="3">
        <f t="shared" si="0"/>
        <v>-7.6725524241526344E-2</v>
      </c>
      <c r="F50" s="3">
        <f t="shared" si="1"/>
        <v>5.8868060701370468E-3</v>
      </c>
    </row>
    <row r="51" spans="2:6" x14ac:dyDescent="0.35">
      <c r="B51" t="s">
        <v>8</v>
      </c>
      <c r="C51" s="3">
        <v>6.9594659805297896</v>
      </c>
      <c r="D51" s="3">
        <v>7.3162729658792642</v>
      </c>
      <c r="E51" s="3">
        <f t="shared" si="0"/>
        <v>-0.35680698534947464</v>
      </c>
      <c r="F51" s="3">
        <f t="shared" si="1"/>
        <v>0.12731122479418019</v>
      </c>
    </row>
    <row r="52" spans="2:6" x14ac:dyDescent="0.35">
      <c r="B52" t="s">
        <v>8</v>
      </c>
      <c r="C52" s="3">
        <v>7.2202048301696804</v>
      </c>
      <c r="D52" s="3">
        <v>7.9068241469816272</v>
      </c>
      <c r="E52" s="3">
        <f t="shared" si="0"/>
        <v>-0.68661931681194677</v>
      </c>
      <c r="F52" s="3">
        <f t="shared" si="1"/>
        <v>0.47144608621930451</v>
      </c>
    </row>
    <row r="53" spans="2:6" x14ac:dyDescent="0.35">
      <c r="B53" t="s">
        <v>8</v>
      </c>
      <c r="C53" s="3">
        <v>3.3189945220947301</v>
      </c>
      <c r="D53" s="3">
        <v>3.0839895013123355</v>
      </c>
      <c r="E53" s="3">
        <f t="shared" si="0"/>
        <v>0.2350050207823946</v>
      </c>
      <c r="F53" s="3">
        <f t="shared" si="1"/>
        <v>5.5227359792933722E-2</v>
      </c>
    </row>
    <row r="54" spans="2:6" x14ac:dyDescent="0.35">
      <c r="B54" t="s">
        <v>8</v>
      </c>
      <c r="C54" s="3">
        <v>3.30728340148926</v>
      </c>
      <c r="D54" s="3">
        <v>2.7887139107611545</v>
      </c>
      <c r="E54" s="3">
        <f t="shared" si="0"/>
        <v>0.51856949072810554</v>
      </c>
      <c r="F54" s="3">
        <f t="shared" si="1"/>
        <v>0.26891431671400673</v>
      </c>
    </row>
    <row r="55" spans="2:6" x14ac:dyDescent="0.35">
      <c r="B55" t="s">
        <v>8</v>
      </c>
      <c r="C55" s="3">
        <v>3.9617507457733199</v>
      </c>
      <c r="D55" s="3">
        <v>5.4133858267716528</v>
      </c>
      <c r="E55" s="3">
        <f t="shared" si="0"/>
        <v>-1.4516350809983329</v>
      </c>
      <c r="F55" s="3">
        <f t="shared" si="1"/>
        <v>2.1072444083850366</v>
      </c>
    </row>
    <row r="56" spans="2:6" x14ac:dyDescent="0.35">
      <c r="B56" t="s">
        <v>8</v>
      </c>
      <c r="C56" s="3">
        <v>7.0028038024902299</v>
      </c>
      <c r="D56" s="3">
        <v>8.1036745406824142</v>
      </c>
      <c r="E56" s="3">
        <f t="shared" si="0"/>
        <v>-1.1008707381921843</v>
      </c>
      <c r="F56" s="3">
        <f t="shared" si="1"/>
        <v>1.2119163822078047</v>
      </c>
    </row>
    <row r="57" spans="2:6" x14ac:dyDescent="0.35">
      <c r="B57" t="s">
        <v>8</v>
      </c>
      <c r="C57" s="3">
        <v>7.0861783027648899</v>
      </c>
      <c r="D57" s="3">
        <v>7.8083989501312328</v>
      </c>
      <c r="E57" s="3">
        <f t="shared" si="0"/>
        <v>-0.72222064736634284</v>
      </c>
      <c r="F57" s="3">
        <f t="shared" si="1"/>
        <v>0.52160266348225937</v>
      </c>
    </row>
    <row r="58" spans="2:6" x14ac:dyDescent="0.35">
      <c r="B58" t="s">
        <v>8</v>
      </c>
      <c r="C58" s="3">
        <v>7.1792311668395996</v>
      </c>
      <c r="D58" s="3">
        <v>7.6115485564304457</v>
      </c>
      <c r="E58" s="3">
        <f t="shared" si="0"/>
        <v>-0.43231738959084609</v>
      </c>
      <c r="F58" s="3">
        <f t="shared" si="1"/>
        <v>0.18689832534264339</v>
      </c>
    </row>
    <row r="59" spans="2:6" x14ac:dyDescent="0.35">
      <c r="B59" t="s">
        <v>8</v>
      </c>
      <c r="C59" s="3">
        <v>7.0784811973571804</v>
      </c>
      <c r="D59" s="3">
        <v>7.6115485564304457</v>
      </c>
      <c r="E59" s="3">
        <f t="shared" si="0"/>
        <v>-0.5330673590732653</v>
      </c>
      <c r="F59" s="3">
        <f t="shared" si="1"/>
        <v>0.28416080930934556</v>
      </c>
    </row>
    <row r="60" spans="2:6" x14ac:dyDescent="0.35">
      <c r="B60" t="s">
        <v>8</v>
      </c>
      <c r="C60" s="3">
        <v>3.3189945220947301</v>
      </c>
      <c r="D60" s="3">
        <v>3.0839895013123355</v>
      </c>
      <c r="E60" s="3">
        <f t="shared" si="0"/>
        <v>0.2350050207823946</v>
      </c>
      <c r="F60" s="3">
        <f t="shared" si="1"/>
        <v>5.5227359792933722E-2</v>
      </c>
    </row>
    <row r="61" spans="2:6" x14ac:dyDescent="0.35">
      <c r="B61" t="s">
        <v>8</v>
      </c>
      <c r="C61" s="3">
        <v>5.0759534835815403</v>
      </c>
      <c r="D61" s="3">
        <v>6.0039370078740157</v>
      </c>
      <c r="E61" s="3">
        <f t="shared" si="0"/>
        <v>-0.92798352429247544</v>
      </c>
      <c r="F61" s="3">
        <f t="shared" si="1"/>
        <v>0.86115342135828332</v>
      </c>
    </row>
    <row r="62" spans="2:6" x14ac:dyDescent="0.35">
      <c r="B62" t="s">
        <v>8</v>
      </c>
      <c r="C62" s="3">
        <v>6.6534771919250497</v>
      </c>
      <c r="D62" s="3">
        <v>5.6102362204724407</v>
      </c>
      <c r="E62" s="3">
        <f t="shared" si="0"/>
        <v>1.043240971452609</v>
      </c>
      <c r="F62" s="3">
        <f t="shared" si="1"/>
        <v>1.0883517245173833</v>
      </c>
    </row>
    <row r="63" spans="2:6" x14ac:dyDescent="0.35">
      <c r="B63" t="s">
        <v>8</v>
      </c>
      <c r="C63" s="3">
        <v>6.5323867797851598</v>
      </c>
      <c r="D63" s="3">
        <v>3.9041994750656164</v>
      </c>
      <c r="E63" s="3">
        <f t="shared" si="0"/>
        <v>2.6281873047195434</v>
      </c>
      <c r="F63" s="3">
        <f t="shared" si="1"/>
        <v>6.907368508688978</v>
      </c>
    </row>
    <row r="64" spans="2:6" x14ac:dyDescent="0.35">
      <c r="B64" t="s">
        <v>8</v>
      </c>
      <c r="C64" s="3">
        <v>7.2512969970703098</v>
      </c>
      <c r="D64" s="3">
        <v>6.8897637795275593</v>
      </c>
      <c r="E64" s="3">
        <f t="shared" si="0"/>
        <v>0.36153321754275058</v>
      </c>
      <c r="F64" s="3">
        <f t="shared" si="1"/>
        <v>0.13070626738681382</v>
      </c>
    </row>
    <row r="65" spans="2:6" x14ac:dyDescent="0.35">
      <c r="B65" t="s">
        <v>8</v>
      </c>
      <c r="C65" s="3">
        <v>7.0861783027648899</v>
      </c>
      <c r="D65" s="3">
        <v>7.8083989501312328</v>
      </c>
      <c r="E65" s="3">
        <f t="shared" si="0"/>
        <v>-0.72222064736634284</v>
      </c>
      <c r="F65" s="3">
        <f t="shared" si="1"/>
        <v>0.52160266348225937</v>
      </c>
    </row>
    <row r="66" spans="2:6" x14ac:dyDescent="0.35">
      <c r="B66" t="s">
        <v>8</v>
      </c>
      <c r="C66" s="3">
        <v>7.4058141708373997</v>
      </c>
      <c r="D66" s="3">
        <v>7.8083989501312328</v>
      </c>
      <c r="E66" s="3">
        <f t="shared" si="0"/>
        <v>-0.40258477929383307</v>
      </c>
      <c r="F66" s="3">
        <f t="shared" si="1"/>
        <v>0.1620745045190643</v>
      </c>
    </row>
    <row r="67" spans="2:6" x14ac:dyDescent="0.35">
      <c r="B67" t="s">
        <v>8</v>
      </c>
      <c r="C67" s="3">
        <v>6.9931893348693901</v>
      </c>
      <c r="D67" s="3">
        <v>7.8083989501312328</v>
      </c>
      <c r="E67" s="3">
        <f t="shared" ref="E67:E78" si="4">C67-D67</f>
        <v>-0.81520961526184266</v>
      </c>
      <c r="F67" s="3">
        <f t="shared" ref="F67:F78" si="5">E67^2</f>
        <v>0.6645667168153615</v>
      </c>
    </row>
    <row r="68" spans="2:6" x14ac:dyDescent="0.35">
      <c r="B68" t="s">
        <v>8</v>
      </c>
      <c r="C68" s="3">
        <v>7.18878126144409</v>
      </c>
      <c r="D68" s="3">
        <v>8.0052493438320198</v>
      </c>
      <c r="E68" s="3">
        <f t="shared" si="4"/>
        <v>-0.81646808238792978</v>
      </c>
      <c r="F68" s="3">
        <f t="shared" si="5"/>
        <v>0.66662012955822325</v>
      </c>
    </row>
    <row r="69" spans="2:6" x14ac:dyDescent="0.35">
      <c r="B69" t="s">
        <v>8</v>
      </c>
      <c r="C69" s="3">
        <v>7.2060003280639702</v>
      </c>
      <c r="D69" s="3">
        <v>7.5131233595800522</v>
      </c>
      <c r="E69" s="3">
        <f t="shared" si="4"/>
        <v>-0.307123031516082</v>
      </c>
      <c r="F69" s="3">
        <f t="shared" si="5"/>
        <v>9.4324556487628303E-2</v>
      </c>
    </row>
    <row r="70" spans="2:6" x14ac:dyDescent="0.35">
      <c r="B70" t="s">
        <v>8</v>
      </c>
      <c r="C70" s="3">
        <v>7.1792311668395996</v>
      </c>
      <c r="D70" s="3">
        <v>7.6115485564304457</v>
      </c>
      <c r="E70" s="3">
        <f t="shared" si="4"/>
        <v>-0.43231738959084609</v>
      </c>
      <c r="F70" s="3">
        <f t="shared" si="5"/>
        <v>0.18689832534264339</v>
      </c>
    </row>
    <row r="71" spans="2:6" x14ac:dyDescent="0.35">
      <c r="B71" t="s">
        <v>8</v>
      </c>
      <c r="C71" s="3">
        <v>7.1906485557556197</v>
      </c>
      <c r="D71" s="3">
        <v>7.5131233595800522</v>
      </c>
      <c r="E71" s="3">
        <f t="shared" si="4"/>
        <v>-0.3224748038244325</v>
      </c>
      <c r="F71" s="3">
        <f t="shared" si="5"/>
        <v>0.10398999910160622</v>
      </c>
    </row>
    <row r="72" spans="2:6" x14ac:dyDescent="0.35">
      <c r="B72" t="s">
        <v>8</v>
      </c>
      <c r="C72" s="3">
        <v>7.1651611328125</v>
      </c>
      <c r="D72" s="3">
        <v>7.6115485564304457</v>
      </c>
      <c r="E72" s="3">
        <f t="shared" si="4"/>
        <v>-0.4463874236179457</v>
      </c>
      <c r="F72" s="3">
        <f t="shared" si="5"/>
        <v>0.1992617319642673</v>
      </c>
    </row>
    <row r="73" spans="2:6" x14ac:dyDescent="0.35">
      <c r="B73" t="s">
        <v>8</v>
      </c>
      <c r="C73" s="3">
        <v>7.18349266052246</v>
      </c>
      <c r="D73" s="3">
        <v>7.7099737532808401</v>
      </c>
      <c r="E73" s="3">
        <f t="shared" si="4"/>
        <v>-0.52648109275838006</v>
      </c>
      <c r="F73" s="3">
        <f t="shared" si="5"/>
        <v>0.27718234103205802</v>
      </c>
    </row>
    <row r="74" spans="2:6" x14ac:dyDescent="0.35">
      <c r="B74" t="s">
        <v>8</v>
      </c>
      <c r="C74" s="3">
        <v>7.2202048301696804</v>
      </c>
      <c r="D74" s="3">
        <v>7.9068241469816272</v>
      </c>
      <c r="E74" s="3">
        <f t="shared" si="4"/>
        <v>-0.68661931681194677</v>
      </c>
      <c r="F74" s="3">
        <f t="shared" si="5"/>
        <v>0.47144608621930451</v>
      </c>
    </row>
    <row r="75" spans="2:6" x14ac:dyDescent="0.35">
      <c r="B75" t="s">
        <v>8</v>
      </c>
      <c r="C75" s="3">
        <v>7.0928306579589799</v>
      </c>
      <c r="D75" s="3">
        <v>7.9068241469816272</v>
      </c>
      <c r="E75" s="3">
        <f t="shared" si="4"/>
        <v>-0.81399348902264723</v>
      </c>
      <c r="F75" s="3">
        <f t="shared" si="5"/>
        <v>0.66258540017126255</v>
      </c>
    </row>
    <row r="76" spans="2:6" x14ac:dyDescent="0.35">
      <c r="B76" t="s">
        <v>8</v>
      </c>
      <c r="C76" s="3">
        <v>7.35998487472534</v>
      </c>
      <c r="D76" s="3">
        <v>8.1036745406824142</v>
      </c>
      <c r="E76" s="3">
        <f t="shared" si="4"/>
        <v>-0.7436896659570742</v>
      </c>
      <c r="F76" s="3">
        <f t="shared" si="5"/>
        <v>0.55307431925134465</v>
      </c>
    </row>
    <row r="77" spans="2:6" x14ac:dyDescent="0.35">
      <c r="B77" t="s">
        <v>8</v>
      </c>
      <c r="C77" s="3">
        <v>7.3204021453857404</v>
      </c>
      <c r="D77" s="3">
        <v>8.7926509186351716</v>
      </c>
      <c r="E77" s="3">
        <f t="shared" si="4"/>
        <v>-1.4722487732494312</v>
      </c>
      <c r="F77" s="3">
        <f t="shared" si="5"/>
        <v>2.1675164503344551</v>
      </c>
    </row>
    <row r="78" spans="2:6" x14ac:dyDescent="0.35">
      <c r="B78" t="s">
        <v>8</v>
      </c>
      <c r="C78" s="3">
        <v>7.2156910896301296</v>
      </c>
      <c r="D78" s="3">
        <v>6.7913385826771648</v>
      </c>
      <c r="E78" s="3">
        <f t="shared" si="4"/>
        <v>0.42435250695296478</v>
      </c>
      <c r="F78" s="3">
        <f t="shared" si="5"/>
        <v>0.18007505015726602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AB4D-2F6C-4CB4-ACE3-3D3D3F7E91CB}">
  <dimension ref="A1:W497"/>
  <sheetViews>
    <sheetView tabSelected="1" topLeftCell="B11" zoomScale="80" zoomScaleNormal="80" workbookViewId="0">
      <selection activeCell="Y18" sqref="Y18"/>
    </sheetView>
  </sheetViews>
  <sheetFormatPr defaultRowHeight="14.5" x14ac:dyDescent="0.35"/>
  <sheetData>
    <row r="1" spans="1:23" x14ac:dyDescent="0.35">
      <c r="B1" s="7" t="s">
        <v>0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t="s">
        <v>6</v>
      </c>
      <c r="I1" t="s">
        <v>7</v>
      </c>
      <c r="K1">
        <v>0</v>
      </c>
      <c r="L1">
        <v>0</v>
      </c>
      <c r="N1">
        <f t="shared" ref="N1:N51" si="0">K1+$I$2</f>
        <v>7.2752211873777917</v>
      </c>
      <c r="O1">
        <f t="shared" ref="O1:O51" si="1">L1-$I$2</f>
        <v>-7.2752211873777917</v>
      </c>
      <c r="R1">
        <v>1</v>
      </c>
      <c r="S1" t="s">
        <v>8</v>
      </c>
      <c r="T1" s="3">
        <v>3.165</v>
      </c>
      <c r="V1" t="s">
        <v>9</v>
      </c>
      <c r="W1">
        <v>8.5</v>
      </c>
    </row>
    <row r="2" spans="1:23" x14ac:dyDescent="0.35">
      <c r="B2" s="12" t="s">
        <v>10</v>
      </c>
      <c r="C2" t="s">
        <v>11</v>
      </c>
      <c r="D2" s="6">
        <v>1.7448360919952399</v>
      </c>
      <c r="E2">
        <v>3.7</v>
      </c>
      <c r="F2" s="3">
        <f>D2-E2</f>
        <v>-1.9551639080047603</v>
      </c>
      <c r="G2" s="3">
        <f>F2^2</f>
        <v>3.8226659071644464</v>
      </c>
      <c r="H2" s="4">
        <f>AVERAGE(F2:F495)</f>
        <v>0.61223656941727356</v>
      </c>
      <c r="I2">
        <f>_xlfn.STDEV.S(D2:D495)</f>
        <v>7.2752211873777917</v>
      </c>
      <c r="K2">
        <v>1</v>
      </c>
      <c r="L2">
        <v>1</v>
      </c>
      <c r="N2">
        <f t="shared" si="0"/>
        <v>8.2752211873777917</v>
      </c>
      <c r="O2">
        <f t="shared" si="1"/>
        <v>-6.2752211873777917</v>
      </c>
      <c r="R2">
        <v>2</v>
      </c>
      <c r="S2" t="s">
        <v>12</v>
      </c>
      <c r="T2" s="3">
        <v>6.06</v>
      </c>
    </row>
    <row r="3" spans="1:23" x14ac:dyDescent="0.35">
      <c r="B3" s="12"/>
      <c r="C3" t="s">
        <v>13</v>
      </c>
      <c r="D3" s="6">
        <v>2.0340173244476301</v>
      </c>
      <c r="E3">
        <v>3.86</v>
      </c>
      <c r="F3" s="3">
        <f t="shared" ref="F3:F66" si="2">D3-E3</f>
        <v>-1.8259826755523698</v>
      </c>
      <c r="G3" s="3">
        <f t="shared" ref="G3:G66" si="3">F3^2</f>
        <v>3.3342127314173911</v>
      </c>
      <c r="K3">
        <v>2</v>
      </c>
      <c r="L3">
        <v>2</v>
      </c>
      <c r="N3">
        <f t="shared" si="0"/>
        <v>9.2752211873777917</v>
      </c>
      <c r="O3">
        <f t="shared" si="1"/>
        <v>-5.2752211873777917</v>
      </c>
    </row>
    <row r="4" spans="1:23" x14ac:dyDescent="0.35">
      <c r="B4" s="12"/>
      <c r="C4" t="s">
        <v>14</v>
      </c>
      <c r="D4" s="6">
        <v>1.56845927238464</v>
      </c>
      <c r="E4">
        <v>3.49</v>
      </c>
      <c r="F4" s="3">
        <f t="shared" si="2"/>
        <v>-1.9215407276153602</v>
      </c>
      <c r="G4" s="3">
        <f t="shared" si="3"/>
        <v>3.6923187678845681</v>
      </c>
      <c r="K4">
        <v>3</v>
      </c>
      <c r="L4">
        <v>3</v>
      </c>
      <c r="N4">
        <f t="shared" si="0"/>
        <v>10.275221187377792</v>
      </c>
      <c r="O4">
        <f t="shared" si="1"/>
        <v>-4.2752211873777917</v>
      </c>
      <c r="S4" t="s">
        <v>15</v>
      </c>
      <c r="T4" s="5">
        <v>2.0122956642364578</v>
      </c>
    </row>
    <row r="5" spans="1:23" x14ac:dyDescent="0.35">
      <c r="B5" s="12"/>
      <c r="C5" t="s">
        <v>16</v>
      </c>
      <c r="D5" s="6">
        <v>1.7747837305069001</v>
      </c>
      <c r="E5">
        <v>3.57</v>
      </c>
      <c r="F5" s="3">
        <f t="shared" si="2"/>
        <v>-1.7952162694930998</v>
      </c>
      <c r="G5" s="3">
        <f t="shared" si="3"/>
        <v>3.2228014542527217</v>
      </c>
      <c r="K5">
        <v>4</v>
      </c>
      <c r="L5">
        <v>4</v>
      </c>
      <c r="N5">
        <f t="shared" si="0"/>
        <v>11.275221187377792</v>
      </c>
      <c r="O5">
        <f t="shared" si="1"/>
        <v>-3.2752211873777917</v>
      </c>
    </row>
    <row r="6" spans="1:23" x14ac:dyDescent="0.35">
      <c r="B6" s="12"/>
      <c r="C6" t="s">
        <v>17</v>
      </c>
      <c r="D6" s="6">
        <v>1.2953345775604199</v>
      </c>
      <c r="E6">
        <v>2.92</v>
      </c>
      <c r="F6" s="3">
        <f t="shared" si="2"/>
        <v>-1.62466542243958</v>
      </c>
      <c r="G6" s="3">
        <f t="shared" si="3"/>
        <v>2.6395377348707791</v>
      </c>
      <c r="K6">
        <v>5</v>
      </c>
      <c r="L6">
        <v>5</v>
      </c>
      <c r="N6">
        <f t="shared" si="0"/>
        <v>12.275221187377792</v>
      </c>
      <c r="O6">
        <f t="shared" si="1"/>
        <v>-2.2752211873777917</v>
      </c>
      <c r="S6" t="s">
        <v>18</v>
      </c>
      <c r="T6">
        <v>0.61223656941727356</v>
      </c>
    </row>
    <row r="7" spans="1:23" x14ac:dyDescent="0.35">
      <c r="A7">
        <v>1</v>
      </c>
      <c r="B7" s="12"/>
      <c r="C7" t="s">
        <v>19</v>
      </c>
      <c r="D7" s="6">
        <v>1.48227643966675</v>
      </c>
      <c r="E7">
        <v>3.8</v>
      </c>
      <c r="F7" s="3">
        <f t="shared" si="2"/>
        <v>-2.31772356033325</v>
      </c>
      <c r="G7" s="3">
        <f t="shared" si="3"/>
        <v>5.3718425021238367</v>
      </c>
      <c r="K7">
        <v>6</v>
      </c>
      <c r="L7">
        <v>6</v>
      </c>
      <c r="N7">
        <f t="shared" si="0"/>
        <v>13.275221187377792</v>
      </c>
      <c r="O7">
        <f t="shared" si="1"/>
        <v>-1.2752211873777917</v>
      </c>
    </row>
    <row r="8" spans="1:23" x14ac:dyDescent="0.35">
      <c r="B8" s="12"/>
      <c r="C8" t="s">
        <v>20</v>
      </c>
      <c r="D8" s="6">
        <v>1.7548912763595601</v>
      </c>
      <c r="E8">
        <v>3.43</v>
      </c>
      <c r="F8" s="3">
        <f t="shared" si="2"/>
        <v>-1.6751087236404401</v>
      </c>
      <c r="G8" s="3">
        <f t="shared" si="3"/>
        <v>2.8059892360163041</v>
      </c>
      <c r="H8" s="1" t="s">
        <v>15</v>
      </c>
      <c r="K8">
        <v>7</v>
      </c>
      <c r="L8">
        <v>7</v>
      </c>
      <c r="N8">
        <f t="shared" si="0"/>
        <v>14.275221187377792</v>
      </c>
      <c r="O8">
        <f t="shared" si="1"/>
        <v>-0.27522118737779167</v>
      </c>
    </row>
    <row r="9" spans="1:23" x14ac:dyDescent="0.35">
      <c r="B9" s="12"/>
      <c r="C9" t="s">
        <v>21</v>
      </c>
      <c r="D9" s="6">
        <v>1.8587521314621001</v>
      </c>
      <c r="E9">
        <v>3.54</v>
      </c>
      <c r="F9" s="3">
        <f t="shared" si="2"/>
        <v>-1.6812478685379</v>
      </c>
      <c r="G9" s="3">
        <f t="shared" si="3"/>
        <v>2.826594395463232</v>
      </c>
      <c r="H9" s="11">
        <f>AVERAGE(G2:G495)^0.5</f>
        <v>2.0122956642364578</v>
      </c>
      <c r="K9">
        <v>8</v>
      </c>
      <c r="L9">
        <v>8</v>
      </c>
      <c r="N9">
        <f t="shared" si="0"/>
        <v>15.275221187377792</v>
      </c>
      <c r="O9">
        <f t="shared" si="1"/>
        <v>0.72477881262220833</v>
      </c>
    </row>
    <row r="10" spans="1:23" x14ac:dyDescent="0.35">
      <c r="B10" s="12"/>
      <c r="C10" t="s">
        <v>22</v>
      </c>
      <c r="D10" s="6">
        <v>2.88178634643555</v>
      </c>
      <c r="E10">
        <v>4.09</v>
      </c>
      <c r="F10" s="3">
        <f t="shared" si="2"/>
        <v>-1.2082136535644499</v>
      </c>
      <c r="G10" s="3">
        <f t="shared" si="3"/>
        <v>1.4597802326595566</v>
      </c>
      <c r="K10">
        <v>9</v>
      </c>
      <c r="L10">
        <v>9</v>
      </c>
      <c r="N10">
        <f t="shared" si="0"/>
        <v>16.275221187377792</v>
      </c>
      <c r="O10">
        <f t="shared" si="1"/>
        <v>1.7247788126222083</v>
      </c>
    </row>
    <row r="11" spans="1:23" x14ac:dyDescent="0.35">
      <c r="B11" s="12"/>
      <c r="C11" t="s">
        <v>23</v>
      </c>
      <c r="D11" s="6">
        <v>1.9542093276977499</v>
      </c>
      <c r="E11">
        <v>2.96</v>
      </c>
      <c r="F11" s="3">
        <f t="shared" si="2"/>
        <v>-1.0057906723022501</v>
      </c>
      <c r="G11" s="3">
        <f t="shared" si="3"/>
        <v>1.0116148764902122</v>
      </c>
      <c r="K11">
        <v>10</v>
      </c>
      <c r="L11">
        <v>10</v>
      </c>
      <c r="N11">
        <f t="shared" si="0"/>
        <v>17.275221187377792</v>
      </c>
      <c r="O11">
        <f t="shared" si="1"/>
        <v>2.7247788126222083</v>
      </c>
    </row>
    <row r="12" spans="1:23" x14ac:dyDescent="0.35">
      <c r="B12" s="12"/>
      <c r="C12" t="s">
        <v>24</v>
      </c>
      <c r="D12" s="6">
        <v>1.25166893005371</v>
      </c>
      <c r="E12">
        <v>3.55</v>
      </c>
      <c r="F12" s="3">
        <f t="shared" si="2"/>
        <v>-2.2983310699462898</v>
      </c>
      <c r="G12" s="3">
        <f t="shared" si="3"/>
        <v>5.2823257070804575</v>
      </c>
      <c r="K12">
        <v>11</v>
      </c>
      <c r="L12">
        <v>11</v>
      </c>
      <c r="N12">
        <f t="shared" si="0"/>
        <v>18.275221187377792</v>
      </c>
      <c r="O12">
        <f t="shared" si="1"/>
        <v>3.7247788126222083</v>
      </c>
    </row>
    <row r="13" spans="1:23" x14ac:dyDescent="0.35">
      <c r="A13" s="1"/>
      <c r="B13" s="12"/>
      <c r="C13" t="s">
        <v>25</v>
      </c>
      <c r="D13" s="6">
        <v>3.1537833213806201</v>
      </c>
      <c r="E13">
        <v>5.41</v>
      </c>
      <c r="F13" s="3">
        <f t="shared" si="2"/>
        <v>-2.25621667861938</v>
      </c>
      <c r="G13" s="3">
        <f t="shared" si="3"/>
        <v>5.0905137008802663</v>
      </c>
      <c r="K13">
        <v>12</v>
      </c>
      <c r="L13">
        <v>12</v>
      </c>
      <c r="N13">
        <f t="shared" si="0"/>
        <v>19.275221187377792</v>
      </c>
      <c r="O13">
        <f t="shared" si="1"/>
        <v>4.7247788126222083</v>
      </c>
    </row>
    <row r="14" spans="1:23" x14ac:dyDescent="0.35">
      <c r="B14" s="12" t="s">
        <v>26</v>
      </c>
      <c r="C14" t="s">
        <v>27</v>
      </c>
      <c r="D14" s="6">
        <v>3.5574634075164799</v>
      </c>
      <c r="E14">
        <v>1.49</v>
      </c>
      <c r="F14" s="3">
        <f t="shared" si="2"/>
        <v>2.0674634075164802</v>
      </c>
      <c r="G14" s="3">
        <f t="shared" si="3"/>
        <v>4.2744049414196557</v>
      </c>
      <c r="K14">
        <v>13</v>
      </c>
      <c r="L14">
        <v>13</v>
      </c>
      <c r="N14">
        <f t="shared" si="0"/>
        <v>20.275221187377792</v>
      </c>
      <c r="O14">
        <f t="shared" si="1"/>
        <v>5.7247788126222083</v>
      </c>
    </row>
    <row r="15" spans="1:23" x14ac:dyDescent="0.35">
      <c r="B15" s="12"/>
      <c r="C15" t="s">
        <v>28</v>
      </c>
      <c r="D15" s="6">
        <v>1.0305161476135301</v>
      </c>
      <c r="E15">
        <v>1.89</v>
      </c>
      <c r="F15" s="3">
        <f t="shared" si="2"/>
        <v>-0.85948385238646985</v>
      </c>
      <c r="G15" s="3">
        <f t="shared" si="3"/>
        <v>0.73871249251308713</v>
      </c>
      <c r="K15">
        <v>14</v>
      </c>
      <c r="L15">
        <v>14</v>
      </c>
      <c r="N15">
        <f t="shared" si="0"/>
        <v>21.275221187377792</v>
      </c>
      <c r="O15">
        <f t="shared" si="1"/>
        <v>6.7247788126222083</v>
      </c>
    </row>
    <row r="16" spans="1:23" x14ac:dyDescent="0.35">
      <c r="B16" s="12"/>
      <c r="C16" t="s">
        <v>29</v>
      </c>
      <c r="D16" s="6">
        <v>2.8905079364776598</v>
      </c>
      <c r="E16">
        <v>2.06</v>
      </c>
      <c r="F16" s="3">
        <f t="shared" si="2"/>
        <v>0.83050793647765975</v>
      </c>
      <c r="G16" s="3">
        <f t="shared" si="3"/>
        <v>0.68974343255238046</v>
      </c>
      <c r="K16">
        <v>15</v>
      </c>
      <c r="L16">
        <v>15</v>
      </c>
      <c r="N16">
        <f t="shared" si="0"/>
        <v>22.275221187377792</v>
      </c>
      <c r="O16">
        <f t="shared" si="1"/>
        <v>7.7247788126222083</v>
      </c>
    </row>
    <row r="17" spans="1:15" x14ac:dyDescent="0.35">
      <c r="B17" s="12"/>
      <c r="C17" t="s">
        <v>30</v>
      </c>
      <c r="D17" s="6">
        <v>6.54313468933106</v>
      </c>
      <c r="E17">
        <v>3.22</v>
      </c>
      <c r="F17" s="3">
        <f t="shared" si="2"/>
        <v>3.3231346893310598</v>
      </c>
      <c r="G17" s="3">
        <f t="shared" si="3"/>
        <v>11.04322416343544</v>
      </c>
      <c r="K17">
        <v>16</v>
      </c>
      <c r="L17">
        <v>16</v>
      </c>
      <c r="N17">
        <f t="shared" si="0"/>
        <v>23.275221187377792</v>
      </c>
      <c r="O17">
        <f t="shared" si="1"/>
        <v>8.7247788126222083</v>
      </c>
    </row>
    <row r="18" spans="1:15" x14ac:dyDescent="0.35">
      <c r="B18" s="12"/>
      <c r="C18" t="s">
        <v>11</v>
      </c>
      <c r="D18" s="6">
        <v>1.74316370487213</v>
      </c>
      <c r="E18">
        <v>2.16</v>
      </c>
      <c r="F18" s="3">
        <f t="shared" si="2"/>
        <v>-0.41683629512787013</v>
      </c>
      <c r="G18" s="3">
        <f t="shared" si="3"/>
        <v>0.17375249693592884</v>
      </c>
      <c r="K18">
        <v>17</v>
      </c>
      <c r="L18">
        <v>17</v>
      </c>
      <c r="N18">
        <f t="shared" si="0"/>
        <v>24.275221187377792</v>
      </c>
      <c r="O18">
        <f t="shared" si="1"/>
        <v>9.7247788126222083</v>
      </c>
    </row>
    <row r="19" spans="1:15" x14ac:dyDescent="0.35">
      <c r="B19" s="12"/>
      <c r="C19" t="s">
        <v>13</v>
      </c>
      <c r="D19" s="6">
        <v>2.0504012107849099</v>
      </c>
      <c r="E19">
        <v>2.13</v>
      </c>
      <c r="F19" s="3">
        <f t="shared" si="2"/>
        <v>-7.9598789215090004E-2</v>
      </c>
      <c r="G19" s="3">
        <f t="shared" si="3"/>
        <v>6.335967244508329E-3</v>
      </c>
      <c r="K19">
        <v>18</v>
      </c>
      <c r="L19">
        <v>18</v>
      </c>
      <c r="N19">
        <f t="shared" si="0"/>
        <v>25.275221187377792</v>
      </c>
      <c r="O19">
        <f t="shared" si="1"/>
        <v>10.724778812622208</v>
      </c>
    </row>
    <row r="20" spans="1:15" x14ac:dyDescent="0.35">
      <c r="A20">
        <v>2</v>
      </c>
      <c r="B20" s="12"/>
      <c r="C20" t="s">
        <v>14</v>
      </c>
      <c r="D20" s="6">
        <v>1.5601729154586801</v>
      </c>
      <c r="E20">
        <v>2.44</v>
      </c>
      <c r="F20" s="3">
        <f t="shared" si="2"/>
        <v>-0.87982708454131986</v>
      </c>
      <c r="G20" s="3">
        <f t="shared" si="3"/>
        <v>0.77409569869247885</v>
      </c>
      <c r="K20">
        <v>19</v>
      </c>
      <c r="L20">
        <v>19</v>
      </c>
      <c r="N20">
        <f t="shared" si="0"/>
        <v>26.275221187377792</v>
      </c>
      <c r="O20">
        <f t="shared" si="1"/>
        <v>11.724778812622208</v>
      </c>
    </row>
    <row r="21" spans="1:15" x14ac:dyDescent="0.35">
      <c r="B21" s="12"/>
      <c r="C21" t="s">
        <v>16</v>
      </c>
      <c r="D21" s="6">
        <v>1.7643300294876101</v>
      </c>
      <c r="E21">
        <v>2.16</v>
      </c>
      <c r="F21" s="3">
        <f t="shared" si="2"/>
        <v>-0.39566997051239006</v>
      </c>
      <c r="G21" s="3">
        <f t="shared" si="3"/>
        <v>0.15655472556527561</v>
      </c>
      <c r="K21">
        <v>20</v>
      </c>
      <c r="L21">
        <v>20</v>
      </c>
      <c r="N21">
        <f t="shared" si="0"/>
        <v>27.275221187377792</v>
      </c>
      <c r="O21">
        <f t="shared" si="1"/>
        <v>12.724778812622208</v>
      </c>
    </row>
    <row r="22" spans="1:15" x14ac:dyDescent="0.35">
      <c r="B22" s="12"/>
      <c r="C22" t="s">
        <v>17</v>
      </c>
      <c r="D22" s="6">
        <v>1.2812638282775899</v>
      </c>
      <c r="E22">
        <v>2.38</v>
      </c>
      <c r="F22" s="3">
        <f t="shared" si="2"/>
        <v>-1.09873617172241</v>
      </c>
      <c r="G22" s="3">
        <f t="shared" si="3"/>
        <v>1.2072211750512172</v>
      </c>
      <c r="K22">
        <v>21</v>
      </c>
      <c r="L22">
        <v>21</v>
      </c>
      <c r="N22">
        <f t="shared" si="0"/>
        <v>28.275221187377792</v>
      </c>
      <c r="O22">
        <f t="shared" si="1"/>
        <v>13.724778812622208</v>
      </c>
    </row>
    <row r="23" spans="1:15" x14ac:dyDescent="0.35">
      <c r="B23" s="12"/>
      <c r="C23" t="s">
        <v>19</v>
      </c>
      <c r="D23" s="6">
        <v>1.49347949028015</v>
      </c>
      <c r="E23">
        <v>1.89</v>
      </c>
      <c r="F23" s="3">
        <f t="shared" si="2"/>
        <v>-0.39652050971984987</v>
      </c>
      <c r="G23" s="3">
        <f t="shared" si="3"/>
        <v>0.15722851462848955</v>
      </c>
      <c r="K23">
        <v>22</v>
      </c>
      <c r="L23">
        <v>22</v>
      </c>
      <c r="N23">
        <f t="shared" si="0"/>
        <v>29.275221187377792</v>
      </c>
      <c r="O23">
        <f t="shared" si="1"/>
        <v>14.724778812622208</v>
      </c>
    </row>
    <row r="24" spans="1:15" x14ac:dyDescent="0.35">
      <c r="B24" s="12"/>
      <c r="C24" t="s">
        <v>20</v>
      </c>
      <c r="D24" s="6">
        <v>1.74072730541229</v>
      </c>
      <c r="E24">
        <v>2</v>
      </c>
      <c r="F24" s="3">
        <f t="shared" si="2"/>
        <v>-0.25927269458770996</v>
      </c>
      <c r="G24" s="3">
        <f t="shared" si="3"/>
        <v>6.7222330158771923E-2</v>
      </c>
      <c r="K24">
        <v>23</v>
      </c>
      <c r="L24">
        <v>23</v>
      </c>
      <c r="N24">
        <f t="shared" si="0"/>
        <v>30.275221187377792</v>
      </c>
      <c r="O24">
        <f t="shared" si="1"/>
        <v>15.724778812622208</v>
      </c>
    </row>
    <row r="25" spans="1:15" x14ac:dyDescent="0.35">
      <c r="B25" s="12"/>
      <c r="C25" t="s">
        <v>21</v>
      </c>
      <c r="D25" s="6">
        <v>1.84258592128754</v>
      </c>
      <c r="E25">
        <v>1.91</v>
      </c>
      <c r="F25" s="3">
        <f t="shared" si="2"/>
        <v>-6.7414078712459968E-2</v>
      </c>
      <c r="G25" s="3">
        <f t="shared" si="3"/>
        <v>4.5446580086497485E-3</v>
      </c>
      <c r="K25">
        <v>24</v>
      </c>
      <c r="L25">
        <v>24</v>
      </c>
      <c r="N25">
        <f t="shared" si="0"/>
        <v>31.275221187377792</v>
      </c>
      <c r="O25">
        <f t="shared" si="1"/>
        <v>16.724778812622208</v>
      </c>
    </row>
    <row r="26" spans="1:15" x14ac:dyDescent="0.35">
      <c r="B26" s="12"/>
      <c r="C26" t="s">
        <v>22</v>
      </c>
      <c r="D26" s="6">
        <v>2.8721008300781299</v>
      </c>
      <c r="E26">
        <v>2.12</v>
      </c>
      <c r="F26" s="3">
        <f t="shared" si="2"/>
        <v>0.75210083007812978</v>
      </c>
      <c r="G26" s="3">
        <f t="shared" si="3"/>
        <v>0.56565565860421185</v>
      </c>
      <c r="K26">
        <v>25</v>
      </c>
      <c r="L26">
        <v>25</v>
      </c>
      <c r="N26">
        <f t="shared" si="0"/>
        <v>32.275221187377795</v>
      </c>
      <c r="O26">
        <f t="shared" si="1"/>
        <v>17.724778812622208</v>
      </c>
    </row>
    <row r="27" spans="1:15" x14ac:dyDescent="0.35">
      <c r="B27" s="12"/>
      <c r="C27" t="s">
        <v>23</v>
      </c>
      <c r="D27" s="6">
        <v>1.9476903676986701</v>
      </c>
      <c r="E27">
        <v>2.31</v>
      </c>
      <c r="F27" s="3">
        <f t="shared" si="2"/>
        <v>-0.36230963230132995</v>
      </c>
      <c r="G27" s="3">
        <f t="shared" si="3"/>
        <v>0.13126826965832492</v>
      </c>
      <c r="K27">
        <v>26</v>
      </c>
      <c r="L27">
        <v>26</v>
      </c>
      <c r="N27">
        <f t="shared" si="0"/>
        <v>33.275221187377795</v>
      </c>
      <c r="O27">
        <f t="shared" si="1"/>
        <v>18.724778812622208</v>
      </c>
    </row>
    <row r="28" spans="1:15" x14ac:dyDescent="0.35">
      <c r="B28" s="12"/>
      <c r="C28" t="s">
        <v>24</v>
      </c>
      <c r="D28" s="6">
        <v>1.23880898952484</v>
      </c>
      <c r="E28">
        <v>2.4900000000000002</v>
      </c>
      <c r="F28" s="3">
        <f t="shared" si="2"/>
        <v>-1.2511910104751602</v>
      </c>
      <c r="G28" s="3">
        <f t="shared" si="3"/>
        <v>1.5654789446938526</v>
      </c>
      <c r="K28">
        <v>27</v>
      </c>
      <c r="L28">
        <v>27</v>
      </c>
      <c r="N28">
        <f t="shared" si="0"/>
        <v>34.275221187377795</v>
      </c>
      <c r="O28">
        <f t="shared" si="1"/>
        <v>19.724778812622208</v>
      </c>
    </row>
    <row r="29" spans="1:15" x14ac:dyDescent="0.35">
      <c r="A29" s="1"/>
      <c r="B29" s="12"/>
      <c r="C29" t="s">
        <v>25</v>
      </c>
      <c r="D29" s="6">
        <v>3.14753246307373</v>
      </c>
      <c r="E29">
        <v>1.97</v>
      </c>
      <c r="F29" s="3">
        <f t="shared" si="2"/>
        <v>1.1775324630737301</v>
      </c>
      <c r="G29" s="3">
        <f t="shared" si="3"/>
        <v>1.3865827015924854</v>
      </c>
      <c r="K29">
        <v>28</v>
      </c>
      <c r="L29">
        <v>28</v>
      </c>
      <c r="N29">
        <f t="shared" si="0"/>
        <v>35.275221187377795</v>
      </c>
      <c r="O29">
        <f t="shared" si="1"/>
        <v>20.724778812622208</v>
      </c>
    </row>
    <row r="30" spans="1:15" x14ac:dyDescent="0.35">
      <c r="B30" s="12" t="s">
        <v>31</v>
      </c>
      <c r="C30" t="s">
        <v>16</v>
      </c>
      <c r="D30" s="6">
        <v>2.4502096176147501</v>
      </c>
      <c r="E30">
        <v>1.95</v>
      </c>
      <c r="F30" s="3">
        <f t="shared" si="2"/>
        <v>0.50020961761475013</v>
      </c>
      <c r="G30" s="3">
        <f t="shared" si="3"/>
        <v>0.25020966155429453</v>
      </c>
      <c r="K30">
        <v>29</v>
      </c>
      <c r="L30">
        <v>29</v>
      </c>
      <c r="N30">
        <f t="shared" si="0"/>
        <v>36.275221187377795</v>
      </c>
      <c r="O30">
        <f t="shared" si="1"/>
        <v>21.724778812622208</v>
      </c>
    </row>
    <row r="31" spans="1:15" x14ac:dyDescent="0.35">
      <c r="B31" s="12"/>
      <c r="C31" t="s">
        <v>17</v>
      </c>
      <c r="D31" s="6">
        <v>1.8425482511520399</v>
      </c>
      <c r="E31">
        <v>2.2000000000000002</v>
      </c>
      <c r="F31" s="3">
        <f t="shared" si="2"/>
        <v>-0.35745174884796027</v>
      </c>
      <c r="G31" s="3">
        <f t="shared" si="3"/>
        <v>0.12777175275446526</v>
      </c>
      <c r="K31">
        <v>30</v>
      </c>
      <c r="L31">
        <v>30</v>
      </c>
      <c r="N31">
        <f t="shared" si="0"/>
        <v>37.275221187377795</v>
      </c>
      <c r="O31">
        <f t="shared" si="1"/>
        <v>22.724778812622208</v>
      </c>
    </row>
    <row r="32" spans="1:15" x14ac:dyDescent="0.35">
      <c r="B32" s="12"/>
      <c r="C32" t="s">
        <v>19</v>
      </c>
      <c r="D32" s="6">
        <v>2.91453289985657</v>
      </c>
      <c r="E32">
        <v>1.88</v>
      </c>
      <c r="F32" s="3">
        <f t="shared" si="2"/>
        <v>1.0345328998565702</v>
      </c>
      <c r="G32" s="3">
        <f t="shared" si="3"/>
        <v>1.0702583208856442</v>
      </c>
      <c r="K32">
        <v>31</v>
      </c>
      <c r="L32">
        <v>31</v>
      </c>
      <c r="N32">
        <f t="shared" si="0"/>
        <v>38.275221187377795</v>
      </c>
      <c r="O32">
        <f t="shared" si="1"/>
        <v>23.724778812622208</v>
      </c>
    </row>
    <row r="33" spans="1:15" x14ac:dyDescent="0.35">
      <c r="B33" s="12"/>
      <c r="C33" t="s">
        <v>20</v>
      </c>
      <c r="D33" s="6">
        <v>2.5323634147643999</v>
      </c>
      <c r="E33">
        <v>1.84</v>
      </c>
      <c r="F33" s="3">
        <f t="shared" si="2"/>
        <v>0.69236341476439978</v>
      </c>
      <c r="G33" s="3">
        <f t="shared" si="3"/>
        <v>0.47936709810422029</v>
      </c>
      <c r="K33">
        <v>32</v>
      </c>
      <c r="L33">
        <v>32</v>
      </c>
      <c r="N33">
        <f t="shared" si="0"/>
        <v>39.275221187377795</v>
      </c>
      <c r="O33">
        <f t="shared" si="1"/>
        <v>24.724778812622208</v>
      </c>
    </row>
    <row r="34" spans="1:15" x14ac:dyDescent="0.35">
      <c r="A34">
        <v>3</v>
      </c>
      <c r="B34" s="12"/>
      <c r="C34" t="s">
        <v>21</v>
      </c>
      <c r="D34" s="6">
        <v>2.5316567420959499</v>
      </c>
      <c r="E34">
        <v>1.69</v>
      </c>
      <c r="F34" s="3">
        <f t="shared" si="2"/>
        <v>0.84165674209594998</v>
      </c>
      <c r="G34" s="3">
        <f t="shared" si="3"/>
        <v>0.70838607151556843</v>
      </c>
      <c r="K34">
        <v>33</v>
      </c>
      <c r="L34">
        <v>33</v>
      </c>
      <c r="N34">
        <f t="shared" si="0"/>
        <v>40.275221187377795</v>
      </c>
      <c r="O34">
        <f t="shared" si="1"/>
        <v>25.724778812622208</v>
      </c>
    </row>
    <row r="35" spans="1:15" x14ac:dyDescent="0.35">
      <c r="B35" s="12"/>
      <c r="C35" t="s">
        <v>22</v>
      </c>
      <c r="D35" s="6">
        <v>2.51152896881104</v>
      </c>
      <c r="E35">
        <v>1.91</v>
      </c>
      <c r="F35" s="3">
        <f t="shared" si="2"/>
        <v>0.60152896881104012</v>
      </c>
      <c r="G35" s="3">
        <f t="shared" si="3"/>
        <v>0.36183710031887328</v>
      </c>
      <c r="K35">
        <v>34</v>
      </c>
      <c r="L35">
        <v>34</v>
      </c>
      <c r="N35">
        <f t="shared" si="0"/>
        <v>41.275221187377795</v>
      </c>
      <c r="O35">
        <f t="shared" si="1"/>
        <v>26.724778812622208</v>
      </c>
    </row>
    <row r="36" spans="1:15" x14ac:dyDescent="0.35">
      <c r="B36" s="12"/>
      <c r="C36" t="s">
        <v>23</v>
      </c>
      <c r="D36" s="6">
        <v>1.6429135799407999</v>
      </c>
      <c r="E36">
        <v>2.11</v>
      </c>
      <c r="F36" s="3">
        <f t="shared" si="2"/>
        <v>-0.46708642005919998</v>
      </c>
      <c r="G36" s="3">
        <f t="shared" si="3"/>
        <v>0.21816972380371941</v>
      </c>
      <c r="K36">
        <v>35</v>
      </c>
      <c r="L36">
        <v>35</v>
      </c>
      <c r="N36">
        <f t="shared" si="0"/>
        <v>42.275221187377795</v>
      </c>
      <c r="O36">
        <f t="shared" si="1"/>
        <v>27.724778812622208</v>
      </c>
    </row>
    <row r="37" spans="1:15" x14ac:dyDescent="0.35">
      <c r="B37" s="12"/>
      <c r="C37" t="s">
        <v>24</v>
      </c>
      <c r="D37" s="6">
        <v>2.3814320564270002</v>
      </c>
      <c r="E37">
        <v>2.5</v>
      </c>
      <c r="F37" s="3">
        <f t="shared" si="2"/>
        <v>-0.11856794357299982</v>
      </c>
      <c r="G37" s="3">
        <f t="shared" si="3"/>
        <v>1.405835724313007E-2</v>
      </c>
      <c r="K37">
        <v>36</v>
      </c>
      <c r="L37">
        <v>36</v>
      </c>
      <c r="N37">
        <f t="shared" si="0"/>
        <v>43.275221187377795</v>
      </c>
      <c r="O37">
        <f t="shared" si="1"/>
        <v>28.724778812622208</v>
      </c>
    </row>
    <row r="38" spans="1:15" x14ac:dyDescent="0.35">
      <c r="A38" s="1"/>
      <c r="B38" s="12"/>
      <c r="C38" t="s">
        <v>25</v>
      </c>
      <c r="D38" s="6">
        <v>3.91373491287231</v>
      </c>
      <c r="E38">
        <v>2.12</v>
      </c>
      <c r="F38" s="3">
        <f t="shared" si="2"/>
        <v>1.7937349128723099</v>
      </c>
      <c r="G38" s="3">
        <f t="shared" si="3"/>
        <v>3.2174849376570331</v>
      </c>
      <c r="K38">
        <v>37</v>
      </c>
      <c r="L38">
        <v>37</v>
      </c>
      <c r="N38">
        <f t="shared" si="0"/>
        <v>44.275221187377795</v>
      </c>
      <c r="O38">
        <f t="shared" si="1"/>
        <v>29.724778812622208</v>
      </c>
    </row>
    <row r="39" spans="1:15" x14ac:dyDescent="0.35">
      <c r="B39" s="13" t="s">
        <v>32</v>
      </c>
      <c r="C39" t="s">
        <v>27</v>
      </c>
      <c r="D39" s="6">
        <v>5.74534368515015</v>
      </c>
      <c r="E39">
        <v>1.78</v>
      </c>
      <c r="F39" s="3">
        <f t="shared" si="2"/>
        <v>3.9653436851501498</v>
      </c>
      <c r="G39" s="3">
        <f t="shared" si="3"/>
        <v>15.723950541360169</v>
      </c>
      <c r="K39">
        <v>38</v>
      </c>
      <c r="L39">
        <v>38</v>
      </c>
      <c r="N39">
        <f t="shared" si="0"/>
        <v>45.275221187377795</v>
      </c>
      <c r="O39">
        <f t="shared" si="1"/>
        <v>30.724778812622208</v>
      </c>
    </row>
    <row r="40" spans="1:15" x14ac:dyDescent="0.35">
      <c r="B40" s="13"/>
      <c r="C40" t="s">
        <v>28</v>
      </c>
      <c r="D40" s="6">
        <v>0.384113729000092</v>
      </c>
      <c r="E40">
        <v>1.66</v>
      </c>
      <c r="F40" s="3">
        <f t="shared" si="2"/>
        <v>-1.2758862709999079</v>
      </c>
      <c r="G40" s="3">
        <f t="shared" si="3"/>
        <v>1.6278857765260504</v>
      </c>
      <c r="K40">
        <v>39</v>
      </c>
      <c r="L40">
        <v>39</v>
      </c>
      <c r="N40">
        <f t="shared" si="0"/>
        <v>46.275221187377795</v>
      </c>
      <c r="O40">
        <f t="shared" si="1"/>
        <v>31.724778812622208</v>
      </c>
    </row>
    <row r="41" spans="1:15" x14ac:dyDescent="0.35">
      <c r="B41" s="13"/>
      <c r="C41" t="s">
        <v>29</v>
      </c>
      <c r="D41" s="6">
        <v>6.2768292427062997</v>
      </c>
      <c r="E41">
        <v>2.5099999999999998</v>
      </c>
      <c r="F41" s="3">
        <f t="shared" si="2"/>
        <v>3.7668292427062999</v>
      </c>
      <c r="G41" s="3">
        <f t="shared" si="3"/>
        <v>14.189002543707318</v>
      </c>
      <c r="K41">
        <v>40</v>
      </c>
      <c r="L41">
        <v>40</v>
      </c>
      <c r="N41">
        <f t="shared" si="0"/>
        <v>47.275221187377795</v>
      </c>
      <c r="O41">
        <f t="shared" si="1"/>
        <v>32.724778812622205</v>
      </c>
    </row>
    <row r="42" spans="1:15" x14ac:dyDescent="0.35">
      <c r="B42" s="13"/>
      <c r="C42" t="s">
        <v>30</v>
      </c>
      <c r="D42" s="6">
        <v>7.5198392868042001</v>
      </c>
      <c r="E42">
        <v>5.49</v>
      </c>
      <c r="F42" s="3">
        <f t="shared" si="2"/>
        <v>2.0298392868041999</v>
      </c>
      <c r="G42" s="3">
        <f t="shared" si="3"/>
        <v>4.1202475302537831</v>
      </c>
      <c r="K42">
        <v>41</v>
      </c>
      <c r="L42">
        <v>41</v>
      </c>
      <c r="N42">
        <f t="shared" si="0"/>
        <v>48.275221187377795</v>
      </c>
      <c r="O42">
        <f t="shared" si="1"/>
        <v>33.724778812622205</v>
      </c>
    </row>
    <row r="43" spans="1:15" x14ac:dyDescent="0.35">
      <c r="B43" s="13"/>
      <c r="C43" t="s">
        <v>11</v>
      </c>
      <c r="D43" s="6">
        <v>5.3458561897277797</v>
      </c>
      <c r="E43">
        <v>2.64</v>
      </c>
      <c r="F43" s="3">
        <f t="shared" si="2"/>
        <v>2.7058561897277795</v>
      </c>
      <c r="G43" s="3">
        <f t="shared" si="3"/>
        <v>7.3216577194881376</v>
      </c>
      <c r="K43">
        <v>42</v>
      </c>
      <c r="L43">
        <v>42</v>
      </c>
      <c r="N43">
        <f t="shared" si="0"/>
        <v>49.275221187377795</v>
      </c>
      <c r="O43">
        <f t="shared" si="1"/>
        <v>34.724778812622205</v>
      </c>
    </row>
    <row r="44" spans="1:15" x14ac:dyDescent="0.35">
      <c r="B44" s="13"/>
      <c r="C44" t="s">
        <v>13</v>
      </c>
      <c r="D44" s="6">
        <v>6.1599831581115696</v>
      </c>
      <c r="E44">
        <v>4.4000000000000004</v>
      </c>
      <c r="F44" s="3">
        <f t="shared" si="2"/>
        <v>1.7599831581115692</v>
      </c>
      <c r="G44" s="3">
        <f t="shared" si="3"/>
        <v>3.0975407168363729</v>
      </c>
      <c r="K44">
        <v>43</v>
      </c>
      <c r="L44">
        <v>43</v>
      </c>
      <c r="N44">
        <f t="shared" si="0"/>
        <v>50.275221187377795</v>
      </c>
      <c r="O44">
        <f t="shared" si="1"/>
        <v>35.724778812622205</v>
      </c>
    </row>
    <row r="45" spans="1:15" x14ac:dyDescent="0.35">
      <c r="B45" s="13"/>
      <c r="C45" t="s">
        <v>14</v>
      </c>
      <c r="D45" s="6">
        <v>2.3229398727417001</v>
      </c>
      <c r="E45">
        <v>2.54</v>
      </c>
      <c r="F45" s="3">
        <f t="shared" si="2"/>
        <v>-0.21706012725829993</v>
      </c>
      <c r="G45" s="3">
        <f t="shared" si="3"/>
        <v>4.7115098845389357E-2</v>
      </c>
      <c r="K45">
        <v>44</v>
      </c>
      <c r="L45">
        <v>44</v>
      </c>
      <c r="N45">
        <f t="shared" si="0"/>
        <v>51.275221187377795</v>
      </c>
      <c r="O45">
        <f t="shared" si="1"/>
        <v>36.724778812622205</v>
      </c>
    </row>
    <row r="46" spans="1:15" x14ac:dyDescent="0.35">
      <c r="B46" s="13"/>
      <c r="C46" t="s">
        <v>16</v>
      </c>
      <c r="D46" s="6">
        <v>4.3228030204773003</v>
      </c>
      <c r="E46">
        <v>1.96</v>
      </c>
      <c r="F46" s="3">
        <f t="shared" si="2"/>
        <v>2.3628030204773003</v>
      </c>
      <c r="G46" s="3">
        <f t="shared" si="3"/>
        <v>5.5828381135766536</v>
      </c>
      <c r="K46">
        <v>45</v>
      </c>
      <c r="L46">
        <v>45</v>
      </c>
      <c r="N46">
        <f t="shared" si="0"/>
        <v>52.275221187377795</v>
      </c>
      <c r="O46">
        <f t="shared" si="1"/>
        <v>37.724778812622205</v>
      </c>
    </row>
    <row r="47" spans="1:15" x14ac:dyDescent="0.35">
      <c r="A47">
        <v>4</v>
      </c>
      <c r="B47" s="13"/>
      <c r="C47" t="s">
        <v>17</v>
      </c>
      <c r="D47" s="6">
        <v>4.1137104034423801</v>
      </c>
      <c r="E47">
        <v>2.15</v>
      </c>
      <c r="F47" s="3">
        <f t="shared" si="2"/>
        <v>1.9637104034423802</v>
      </c>
      <c r="G47" s="3">
        <f t="shared" si="3"/>
        <v>3.8561585485878358</v>
      </c>
      <c r="K47">
        <v>46</v>
      </c>
      <c r="L47">
        <v>46</v>
      </c>
      <c r="N47">
        <f t="shared" si="0"/>
        <v>53.275221187377795</v>
      </c>
      <c r="O47">
        <f t="shared" si="1"/>
        <v>38.724778812622205</v>
      </c>
    </row>
    <row r="48" spans="1:15" x14ac:dyDescent="0.35">
      <c r="B48" s="13"/>
      <c r="C48" t="s">
        <v>19</v>
      </c>
      <c r="D48" s="6">
        <v>5.6254501342773402</v>
      </c>
      <c r="E48">
        <v>2.94</v>
      </c>
      <c r="F48" s="3">
        <f t="shared" si="2"/>
        <v>2.6854501342773403</v>
      </c>
      <c r="G48" s="3">
        <f t="shared" si="3"/>
        <v>7.2116424236901846</v>
      </c>
      <c r="K48">
        <v>47</v>
      </c>
      <c r="L48">
        <v>47</v>
      </c>
      <c r="N48">
        <f t="shared" si="0"/>
        <v>54.275221187377795</v>
      </c>
      <c r="O48">
        <f t="shared" si="1"/>
        <v>39.724778812622205</v>
      </c>
    </row>
    <row r="49" spans="1:15" x14ac:dyDescent="0.35">
      <c r="B49" s="13"/>
      <c r="C49" t="s">
        <v>20</v>
      </c>
      <c r="D49" s="6">
        <v>4.6066775321960503</v>
      </c>
      <c r="E49">
        <v>1.49</v>
      </c>
      <c r="F49" s="3">
        <f t="shared" si="2"/>
        <v>3.11667753219605</v>
      </c>
      <c r="G49" s="3">
        <f t="shared" si="3"/>
        <v>9.7136788396956604</v>
      </c>
      <c r="K49">
        <v>48</v>
      </c>
      <c r="L49">
        <v>48</v>
      </c>
      <c r="N49">
        <f t="shared" si="0"/>
        <v>55.275221187377795</v>
      </c>
      <c r="O49">
        <f t="shared" si="1"/>
        <v>40.724778812622205</v>
      </c>
    </row>
    <row r="50" spans="1:15" x14ac:dyDescent="0.35">
      <c r="B50" s="13"/>
      <c r="C50" t="s">
        <v>21</v>
      </c>
      <c r="D50" s="6">
        <v>4.90875291824341</v>
      </c>
      <c r="E50">
        <v>1.61</v>
      </c>
      <c r="F50" s="3">
        <f t="shared" si="2"/>
        <v>3.2987529182434097</v>
      </c>
      <c r="G50" s="3">
        <f t="shared" si="3"/>
        <v>10.881770815619412</v>
      </c>
      <c r="K50">
        <v>49</v>
      </c>
      <c r="L50">
        <v>49</v>
      </c>
      <c r="N50">
        <f t="shared" si="0"/>
        <v>56.275221187377795</v>
      </c>
      <c r="O50">
        <f t="shared" si="1"/>
        <v>41.724778812622205</v>
      </c>
    </row>
    <row r="51" spans="1:15" x14ac:dyDescent="0.35">
      <c r="B51" s="13"/>
      <c r="C51" t="s">
        <v>22</v>
      </c>
      <c r="D51" s="6">
        <v>3.9944009780883798</v>
      </c>
      <c r="E51">
        <v>1.82</v>
      </c>
      <c r="F51" s="3">
        <f t="shared" si="2"/>
        <v>2.1744009780883795</v>
      </c>
      <c r="G51" s="3">
        <f t="shared" si="3"/>
        <v>4.7280196135117016</v>
      </c>
      <c r="K51">
        <v>50</v>
      </c>
      <c r="L51">
        <v>50</v>
      </c>
      <c r="N51">
        <f t="shared" si="0"/>
        <v>57.275221187377795</v>
      </c>
      <c r="O51">
        <f t="shared" si="1"/>
        <v>42.724778812622205</v>
      </c>
    </row>
    <row r="52" spans="1:15" x14ac:dyDescent="0.35">
      <c r="B52" s="13"/>
      <c r="C52" t="s">
        <v>23</v>
      </c>
      <c r="D52" s="6">
        <v>3.9936172962188698</v>
      </c>
      <c r="E52">
        <v>2.09</v>
      </c>
      <c r="F52" s="3">
        <f t="shared" si="2"/>
        <v>1.90361729621887</v>
      </c>
      <c r="G52" s="3">
        <f t="shared" si="3"/>
        <v>3.6237588104636411</v>
      </c>
    </row>
    <row r="53" spans="1:15" x14ac:dyDescent="0.35">
      <c r="B53" s="13"/>
      <c r="C53" t="s">
        <v>24</v>
      </c>
      <c r="D53" s="6">
        <v>4.8460016250610396</v>
      </c>
      <c r="E53">
        <v>3.77</v>
      </c>
      <c r="F53" s="3">
        <f t="shared" si="2"/>
        <v>1.0760016250610396</v>
      </c>
      <c r="G53" s="3">
        <f t="shared" si="3"/>
        <v>1.1577794971339981</v>
      </c>
    </row>
    <row r="54" spans="1:15" x14ac:dyDescent="0.35">
      <c r="A54" s="1"/>
      <c r="B54" s="13"/>
      <c r="C54" t="s">
        <v>25</v>
      </c>
      <c r="D54" s="6">
        <v>5.6785311698913601</v>
      </c>
      <c r="E54">
        <v>3.74</v>
      </c>
      <c r="F54" s="3">
        <f t="shared" si="2"/>
        <v>1.9385311698913599</v>
      </c>
      <c r="G54" s="3">
        <f t="shared" si="3"/>
        <v>3.7579030966403644</v>
      </c>
    </row>
    <row r="55" spans="1:15" x14ac:dyDescent="0.35">
      <c r="B55" s="12" t="s">
        <v>33</v>
      </c>
      <c r="C55" t="s">
        <v>27</v>
      </c>
      <c r="D55" s="6">
        <v>4.8994083404540998</v>
      </c>
      <c r="E55">
        <v>2.76</v>
      </c>
      <c r="F55" s="3">
        <f t="shared" si="2"/>
        <v>2.1394083404541</v>
      </c>
      <c r="G55" s="3">
        <f t="shared" si="3"/>
        <v>4.5770680472045662</v>
      </c>
    </row>
    <row r="56" spans="1:15" x14ac:dyDescent="0.35">
      <c r="B56" s="12"/>
      <c r="C56" t="s">
        <v>28</v>
      </c>
      <c r="D56" s="6">
        <v>1.92495560646057</v>
      </c>
      <c r="E56">
        <v>1.81</v>
      </c>
      <c r="F56" s="3">
        <f t="shared" si="2"/>
        <v>0.1149556064605699</v>
      </c>
      <c r="G56" s="3">
        <f t="shared" si="3"/>
        <v>1.3214791456717421E-2</v>
      </c>
    </row>
    <row r="57" spans="1:15" x14ac:dyDescent="0.35">
      <c r="B57" s="12"/>
      <c r="C57" t="s">
        <v>29</v>
      </c>
      <c r="D57" s="6">
        <v>5.2084484100341797</v>
      </c>
      <c r="E57">
        <v>3.14</v>
      </c>
      <c r="F57" s="3">
        <f t="shared" si="2"/>
        <v>2.0684484100341796</v>
      </c>
      <c r="G57" s="3">
        <f t="shared" si="3"/>
        <v>4.2784788249729253</v>
      </c>
    </row>
    <row r="58" spans="1:15" x14ac:dyDescent="0.35">
      <c r="B58" s="12"/>
      <c r="C58" t="s">
        <v>30</v>
      </c>
      <c r="D58" s="6">
        <v>6.8409962654113796</v>
      </c>
      <c r="E58">
        <v>6.08</v>
      </c>
      <c r="F58" s="3">
        <f t="shared" si="2"/>
        <v>0.76099626541137955</v>
      </c>
      <c r="G58" s="3">
        <f t="shared" si="3"/>
        <v>0.57911531597006682</v>
      </c>
    </row>
    <row r="59" spans="1:15" x14ac:dyDescent="0.35">
      <c r="B59" s="12"/>
      <c r="C59" t="s">
        <v>11</v>
      </c>
      <c r="D59" s="6">
        <v>3.7474431991577202</v>
      </c>
      <c r="E59">
        <v>3.2</v>
      </c>
      <c r="F59" s="3">
        <f t="shared" si="2"/>
        <v>0.54744319915772</v>
      </c>
      <c r="G59" s="3">
        <f t="shared" si="3"/>
        <v>0.29969405630403906</v>
      </c>
    </row>
    <row r="60" spans="1:15" x14ac:dyDescent="0.35">
      <c r="B60" s="12"/>
      <c r="C60" t="s">
        <v>13</v>
      </c>
      <c r="D60" s="6">
        <v>5.2700695991516104</v>
      </c>
      <c r="E60">
        <v>4.6500000000000004</v>
      </c>
      <c r="F60" s="3">
        <f t="shared" si="2"/>
        <v>0.62006959915161008</v>
      </c>
      <c r="G60" s="3">
        <f t="shared" si="3"/>
        <v>0.38448630779203841</v>
      </c>
    </row>
    <row r="61" spans="1:15" x14ac:dyDescent="0.35">
      <c r="B61" s="12"/>
      <c r="C61" t="s">
        <v>14</v>
      </c>
      <c r="D61" s="6">
        <v>2.6613113880157502</v>
      </c>
      <c r="E61">
        <v>2.58</v>
      </c>
      <c r="F61" s="3">
        <f t="shared" si="2"/>
        <v>8.1311388015750108E-2</v>
      </c>
      <c r="G61" s="3">
        <f t="shared" si="3"/>
        <v>6.6115418210478706E-3</v>
      </c>
    </row>
    <row r="62" spans="1:15" x14ac:dyDescent="0.35">
      <c r="B62" s="12"/>
      <c r="C62" t="s">
        <v>16</v>
      </c>
      <c r="D62" s="6">
        <v>2.9533932209014901</v>
      </c>
      <c r="E62">
        <v>2.09</v>
      </c>
      <c r="F62" s="3">
        <f t="shared" si="2"/>
        <v>0.86339322090149029</v>
      </c>
      <c r="G62" s="3">
        <f t="shared" si="3"/>
        <v>0.74544785389864965</v>
      </c>
    </row>
    <row r="63" spans="1:15" x14ac:dyDescent="0.35">
      <c r="A63">
        <v>5</v>
      </c>
      <c r="B63" s="12"/>
      <c r="C63" t="s">
        <v>17</v>
      </c>
      <c r="D63" s="6">
        <v>2.9043555259704599</v>
      </c>
      <c r="E63">
        <v>2.2999999999999998</v>
      </c>
      <c r="F63" s="3">
        <f t="shared" si="2"/>
        <v>0.60435552597046005</v>
      </c>
      <c r="G63" s="3">
        <f t="shared" si="3"/>
        <v>0.36524560177103144</v>
      </c>
    </row>
    <row r="64" spans="1:15" x14ac:dyDescent="0.35">
      <c r="B64" s="12"/>
      <c r="C64" t="s">
        <v>19</v>
      </c>
      <c r="D64" s="6">
        <v>3.74091625213623</v>
      </c>
      <c r="E64">
        <v>3.24</v>
      </c>
      <c r="F64" s="3">
        <f t="shared" si="2"/>
        <v>0.50091625213622981</v>
      </c>
      <c r="G64" s="3">
        <f t="shared" si="3"/>
        <v>0.25091709165420695</v>
      </c>
    </row>
    <row r="65" spans="1:7" x14ac:dyDescent="0.35">
      <c r="B65" s="12"/>
      <c r="C65" t="s">
        <v>20</v>
      </c>
      <c r="D65" s="6">
        <v>3.0372765064239502</v>
      </c>
      <c r="E65">
        <v>1.97</v>
      </c>
      <c r="F65" s="3">
        <f t="shared" si="2"/>
        <v>1.0672765064239502</v>
      </c>
      <c r="G65" s="3">
        <f t="shared" si="3"/>
        <v>1.1390791411645123</v>
      </c>
    </row>
    <row r="66" spans="1:7" x14ac:dyDescent="0.35">
      <c r="B66" s="12"/>
      <c r="C66" t="s">
        <v>21</v>
      </c>
      <c r="D66" s="6">
        <v>3.00093650817871</v>
      </c>
      <c r="E66">
        <v>1.78</v>
      </c>
      <c r="F66" s="3">
        <f t="shared" si="2"/>
        <v>1.22093650817871</v>
      </c>
      <c r="G66" s="3">
        <f t="shared" si="3"/>
        <v>1.4906859570036213</v>
      </c>
    </row>
    <row r="67" spans="1:7" x14ac:dyDescent="0.35">
      <c r="B67" s="12"/>
      <c r="C67" t="s">
        <v>22</v>
      </c>
      <c r="D67" s="6">
        <v>2.6888508796691899</v>
      </c>
      <c r="E67">
        <v>1.96</v>
      </c>
      <c r="F67" s="3">
        <f t="shared" ref="F67:F130" si="4">D67-E67</f>
        <v>0.72885087966918993</v>
      </c>
      <c r="G67" s="3">
        <f t="shared" ref="G67:G130" si="5">F67^2</f>
        <v>0.531223604794552</v>
      </c>
    </row>
    <row r="68" spans="1:7" x14ac:dyDescent="0.35">
      <c r="B68" s="12"/>
      <c r="C68" t="s">
        <v>23</v>
      </c>
      <c r="D68" s="6">
        <v>2.8888907432556201</v>
      </c>
      <c r="E68">
        <v>2.13</v>
      </c>
      <c r="F68" s="3">
        <f t="shared" si="4"/>
        <v>0.75889074325562023</v>
      </c>
      <c r="G68" s="3">
        <f t="shared" si="5"/>
        <v>0.57591516019906774</v>
      </c>
    </row>
    <row r="69" spans="1:7" x14ac:dyDescent="0.35">
      <c r="B69" s="12"/>
      <c r="C69" t="s">
        <v>24</v>
      </c>
      <c r="D69" s="6">
        <v>3.0253353118896502</v>
      </c>
      <c r="E69">
        <v>2.84</v>
      </c>
      <c r="F69" s="3">
        <f t="shared" si="4"/>
        <v>0.18533531188965036</v>
      </c>
      <c r="G69" s="3">
        <f t="shared" si="5"/>
        <v>3.434917783323397E-2</v>
      </c>
    </row>
    <row r="70" spans="1:7" x14ac:dyDescent="0.35">
      <c r="A70" s="1"/>
      <c r="B70" s="12"/>
      <c r="C70" t="s">
        <v>25</v>
      </c>
      <c r="D70" s="6">
        <v>4.2978162765502903</v>
      </c>
      <c r="E70">
        <v>4.5</v>
      </c>
      <c r="F70" s="3">
        <f t="shared" si="4"/>
        <v>-0.2021837234497097</v>
      </c>
      <c r="G70" s="3">
        <f t="shared" si="5"/>
        <v>4.0878258027988688E-2</v>
      </c>
    </row>
    <row r="71" spans="1:7" x14ac:dyDescent="0.35">
      <c r="B71" s="12" t="s">
        <v>34</v>
      </c>
      <c r="C71" t="s">
        <v>27</v>
      </c>
      <c r="D71" s="6">
        <v>8.6035842895507795</v>
      </c>
      <c r="E71">
        <v>6.07</v>
      </c>
      <c r="F71" s="3">
        <f t="shared" si="4"/>
        <v>2.5335842895507792</v>
      </c>
      <c r="G71" s="3">
        <f t="shared" si="5"/>
        <v>6.4190493522585266</v>
      </c>
    </row>
    <row r="72" spans="1:7" x14ac:dyDescent="0.35">
      <c r="B72" s="12"/>
      <c r="C72" t="s">
        <v>28</v>
      </c>
      <c r="D72" s="6">
        <v>6.36513328552246</v>
      </c>
      <c r="E72">
        <v>1.79</v>
      </c>
      <c r="F72" s="3">
        <f t="shared" si="4"/>
        <v>4.57513328552246</v>
      </c>
      <c r="G72" s="3">
        <f t="shared" si="5"/>
        <v>20.93184458029554</v>
      </c>
    </row>
    <row r="73" spans="1:7" x14ac:dyDescent="0.35">
      <c r="B73" s="12"/>
      <c r="C73" t="s">
        <v>29</v>
      </c>
      <c r="D73" s="6">
        <v>8.6697673797607404</v>
      </c>
      <c r="E73">
        <v>3.78</v>
      </c>
      <c r="F73" s="3">
        <f t="shared" si="4"/>
        <v>4.8897673797607411</v>
      </c>
      <c r="G73" s="3">
        <f t="shared" si="5"/>
        <v>23.909825028172222</v>
      </c>
    </row>
    <row r="74" spans="1:7" x14ac:dyDescent="0.35">
      <c r="B74" s="12"/>
      <c r="C74" t="s">
        <v>30</v>
      </c>
      <c r="D74" s="6">
        <v>10.667182922363301</v>
      </c>
      <c r="E74">
        <v>9.9499999999999993</v>
      </c>
      <c r="F74" s="3">
        <f t="shared" si="4"/>
        <v>0.7171829223633015</v>
      </c>
      <c r="G74" s="3">
        <f t="shared" si="5"/>
        <v>0.5143513441295654</v>
      </c>
    </row>
    <row r="75" spans="1:7" x14ac:dyDescent="0.35">
      <c r="B75" s="12"/>
      <c r="C75" t="s">
        <v>16</v>
      </c>
      <c r="D75" s="6">
        <v>6.9931397438049299</v>
      </c>
      <c r="E75">
        <v>2.09</v>
      </c>
      <c r="F75" s="3">
        <f t="shared" si="4"/>
        <v>4.90313974380493</v>
      </c>
      <c r="G75" s="3">
        <f t="shared" si="5"/>
        <v>24.040779347279475</v>
      </c>
    </row>
    <row r="76" spans="1:7" x14ac:dyDescent="0.35">
      <c r="B76" s="12"/>
      <c r="C76" t="s">
        <v>17</v>
      </c>
      <c r="D76" s="6">
        <v>6.9523983001709002</v>
      </c>
      <c r="E76">
        <v>2.2999999999999998</v>
      </c>
      <c r="F76" s="3">
        <f t="shared" si="4"/>
        <v>4.6523983001709004</v>
      </c>
      <c r="G76" s="3">
        <f t="shared" si="5"/>
        <v>21.644809943433085</v>
      </c>
    </row>
    <row r="77" spans="1:7" x14ac:dyDescent="0.35">
      <c r="A77">
        <v>6</v>
      </c>
      <c r="B77" s="12"/>
      <c r="C77" t="s">
        <v>19</v>
      </c>
      <c r="D77" s="6">
        <v>7.9284815788268999</v>
      </c>
      <c r="E77">
        <v>6</v>
      </c>
      <c r="F77" s="3">
        <f t="shared" si="4"/>
        <v>1.9284815788268999</v>
      </c>
      <c r="G77" s="3">
        <f t="shared" si="5"/>
        <v>3.7190411998746922</v>
      </c>
    </row>
    <row r="78" spans="1:7" x14ac:dyDescent="0.35">
      <c r="B78" s="12"/>
      <c r="C78" t="s">
        <v>20</v>
      </c>
      <c r="D78" s="6">
        <v>7.0073480606079102</v>
      </c>
      <c r="E78">
        <v>1.96</v>
      </c>
      <c r="F78" s="3">
        <f t="shared" si="4"/>
        <v>5.0473480606079102</v>
      </c>
      <c r="G78" s="3">
        <f t="shared" si="5"/>
        <v>25.475722444922432</v>
      </c>
    </row>
    <row r="79" spans="1:7" x14ac:dyDescent="0.35">
      <c r="B79" s="12"/>
      <c r="C79" t="s">
        <v>21</v>
      </c>
      <c r="D79" s="6">
        <v>6.9199872016906703</v>
      </c>
      <c r="E79">
        <v>1.84</v>
      </c>
      <c r="F79" s="3">
        <f t="shared" si="4"/>
        <v>5.0799872016906704</v>
      </c>
      <c r="G79" s="3">
        <f t="shared" si="5"/>
        <v>25.80626996934101</v>
      </c>
    </row>
    <row r="80" spans="1:7" x14ac:dyDescent="0.35">
      <c r="B80" s="12"/>
      <c r="C80" t="s">
        <v>22</v>
      </c>
      <c r="D80" s="6">
        <v>6.8900947570800799</v>
      </c>
      <c r="E80">
        <v>2.0299999999999998</v>
      </c>
      <c r="F80" s="3">
        <f t="shared" si="4"/>
        <v>4.8600947570800805</v>
      </c>
      <c r="G80" s="3">
        <f t="shared" si="5"/>
        <v>23.620521047797286</v>
      </c>
    </row>
    <row r="81" spans="1:7" x14ac:dyDescent="0.35">
      <c r="B81" s="12"/>
      <c r="C81" t="s">
        <v>23</v>
      </c>
      <c r="D81" s="6">
        <v>7.1306881904602104</v>
      </c>
      <c r="E81">
        <v>3.18</v>
      </c>
      <c r="F81" s="3">
        <f t="shared" si="4"/>
        <v>3.9506881904602102</v>
      </c>
      <c r="G81" s="3">
        <f t="shared" si="5"/>
        <v>15.607937178241771</v>
      </c>
    </row>
    <row r="82" spans="1:7" x14ac:dyDescent="0.35">
      <c r="B82" s="12"/>
      <c r="C82" t="s">
        <v>24</v>
      </c>
      <c r="D82" s="6">
        <v>6.9653916358947798</v>
      </c>
      <c r="E82">
        <v>3.11</v>
      </c>
      <c r="F82" s="3">
        <f t="shared" si="4"/>
        <v>3.85539163589478</v>
      </c>
      <c r="G82" s="3">
        <f t="shared" si="5"/>
        <v>14.864044666127427</v>
      </c>
    </row>
    <row r="83" spans="1:7" x14ac:dyDescent="0.35">
      <c r="A83" s="1"/>
      <c r="B83" s="12"/>
      <c r="C83" t="s">
        <v>25</v>
      </c>
      <c r="D83" s="6">
        <v>8.45715236663818</v>
      </c>
      <c r="E83">
        <v>8.14</v>
      </c>
      <c r="F83" s="3">
        <f t="shared" si="4"/>
        <v>0.31715236663817947</v>
      </c>
      <c r="G83" s="3">
        <f t="shared" si="5"/>
        <v>0.10058562366419821</v>
      </c>
    </row>
    <row r="84" spans="1:7" x14ac:dyDescent="0.35">
      <c r="B84" s="12" t="s">
        <v>35</v>
      </c>
      <c r="C84" t="s">
        <v>27</v>
      </c>
      <c r="D84" s="6">
        <v>8.5138425827026403</v>
      </c>
      <c r="E84">
        <v>7.29</v>
      </c>
      <c r="F84" s="3">
        <f t="shared" si="4"/>
        <v>1.2238425827026402</v>
      </c>
      <c r="G84" s="3">
        <f t="shared" si="5"/>
        <v>1.4977906672362689</v>
      </c>
    </row>
    <row r="85" spans="1:7" x14ac:dyDescent="0.35">
      <c r="B85" s="12"/>
      <c r="C85" t="s">
        <v>28</v>
      </c>
      <c r="D85" s="6">
        <v>6.6704859733581499</v>
      </c>
      <c r="E85">
        <v>3.1</v>
      </c>
      <c r="F85" s="3">
        <f t="shared" si="4"/>
        <v>3.5704859733581498</v>
      </c>
      <c r="G85" s="3">
        <f t="shared" si="5"/>
        <v>12.748370085947295</v>
      </c>
    </row>
    <row r="86" spans="1:7" x14ac:dyDescent="0.35">
      <c r="B86" s="12"/>
      <c r="C86" t="s">
        <v>29</v>
      </c>
      <c r="D86" s="6">
        <v>9.4046001434326207</v>
      </c>
      <c r="E86">
        <v>7.29</v>
      </c>
      <c r="F86" s="3">
        <f t="shared" si="4"/>
        <v>2.1146001434326207</v>
      </c>
      <c r="G86" s="3">
        <f t="shared" si="5"/>
        <v>4.4715337666052601</v>
      </c>
    </row>
    <row r="87" spans="1:7" x14ac:dyDescent="0.35">
      <c r="B87" s="12"/>
      <c r="C87" t="s">
        <v>30</v>
      </c>
      <c r="D87" s="6">
        <v>11.549516677856399</v>
      </c>
      <c r="E87">
        <v>10.25</v>
      </c>
      <c r="F87" s="3">
        <f t="shared" si="4"/>
        <v>1.2995166778563991</v>
      </c>
      <c r="G87" s="3">
        <f t="shared" si="5"/>
        <v>1.6887435960269321</v>
      </c>
    </row>
    <row r="88" spans="1:7" x14ac:dyDescent="0.35">
      <c r="B88" s="12"/>
      <c r="C88" t="s">
        <v>11</v>
      </c>
      <c r="D88" s="6">
        <v>7.52278709411621</v>
      </c>
      <c r="E88">
        <v>6.01</v>
      </c>
      <c r="F88" s="3">
        <f t="shared" si="4"/>
        <v>1.5127870941162103</v>
      </c>
      <c r="G88" s="3">
        <f t="shared" si="5"/>
        <v>2.2885247921245675</v>
      </c>
    </row>
    <row r="89" spans="1:7" x14ac:dyDescent="0.35">
      <c r="B89" s="12"/>
      <c r="C89" t="s">
        <v>13</v>
      </c>
      <c r="D89" s="6">
        <v>8.7693166732788104</v>
      </c>
      <c r="E89">
        <v>7.85</v>
      </c>
      <c r="F89" s="3">
        <f t="shared" si="4"/>
        <v>0.91931667327881073</v>
      </c>
      <c r="G89" s="3">
        <f t="shared" si="5"/>
        <v>0.84514314576841965</v>
      </c>
    </row>
    <row r="90" spans="1:7" x14ac:dyDescent="0.35">
      <c r="B90" s="12"/>
      <c r="C90" t="s">
        <v>14</v>
      </c>
      <c r="D90" s="6">
        <v>6.6161475181579599</v>
      </c>
      <c r="E90">
        <v>2.96</v>
      </c>
      <c r="F90" s="3">
        <f t="shared" si="4"/>
        <v>3.6561475181579599</v>
      </c>
      <c r="G90" s="3">
        <f t="shared" si="5"/>
        <v>13.367414674532609</v>
      </c>
    </row>
    <row r="91" spans="1:7" x14ac:dyDescent="0.35">
      <c r="B91" s="12"/>
      <c r="C91" t="s">
        <v>16</v>
      </c>
      <c r="D91" s="6">
        <v>7.6360449790954599</v>
      </c>
      <c r="E91">
        <v>4.4800000000000004</v>
      </c>
      <c r="F91" s="3">
        <f t="shared" si="4"/>
        <v>3.1560449790954594</v>
      </c>
      <c r="G91" s="3">
        <f t="shared" si="5"/>
        <v>9.9606199100736585</v>
      </c>
    </row>
    <row r="92" spans="1:7" x14ac:dyDescent="0.35">
      <c r="A92">
        <v>7</v>
      </c>
      <c r="B92" s="12"/>
      <c r="C92" t="s">
        <v>17</v>
      </c>
      <c r="D92" s="6">
        <v>6.8705577850341797</v>
      </c>
      <c r="E92">
        <v>3.09</v>
      </c>
      <c r="F92" s="3">
        <f t="shared" si="4"/>
        <v>3.7805577850341798</v>
      </c>
      <c r="G92" s="3">
        <f t="shared" si="5"/>
        <v>14.292617165982543</v>
      </c>
    </row>
    <row r="93" spans="1:7" x14ac:dyDescent="0.35">
      <c r="B93" s="12"/>
      <c r="C93" t="s">
        <v>19</v>
      </c>
      <c r="D93" s="6">
        <v>7.8859295845031703</v>
      </c>
      <c r="E93">
        <v>6.21</v>
      </c>
      <c r="F93" s="3">
        <f t="shared" si="4"/>
        <v>1.6759295845031703</v>
      </c>
      <c r="G93" s="3">
        <f t="shared" si="5"/>
        <v>2.8087399722129689</v>
      </c>
    </row>
    <row r="94" spans="1:7" x14ac:dyDescent="0.35">
      <c r="B94" s="12"/>
      <c r="C94" t="s">
        <v>20</v>
      </c>
      <c r="D94" s="6">
        <v>7.4367904663085902</v>
      </c>
      <c r="E94">
        <v>5.05</v>
      </c>
      <c r="F94" s="3">
        <f t="shared" si="4"/>
        <v>2.3867904663085904</v>
      </c>
      <c r="G94" s="3">
        <f t="shared" si="5"/>
        <v>5.6967687300615779</v>
      </c>
    </row>
    <row r="95" spans="1:7" x14ac:dyDescent="0.35">
      <c r="B95" s="12"/>
      <c r="C95" t="s">
        <v>21</v>
      </c>
      <c r="D95" s="6">
        <v>7.4072809219360396</v>
      </c>
      <c r="E95">
        <v>3.95</v>
      </c>
      <c r="F95" s="3">
        <f t="shared" si="4"/>
        <v>3.4572809219360394</v>
      </c>
      <c r="G95" s="3">
        <f t="shared" si="5"/>
        <v>11.95279137318291</v>
      </c>
    </row>
    <row r="96" spans="1:7" x14ac:dyDescent="0.35">
      <c r="B96" s="12"/>
      <c r="C96" t="s">
        <v>22</v>
      </c>
      <c r="D96" s="6">
        <v>6.9202075004577601</v>
      </c>
      <c r="E96">
        <v>3.23</v>
      </c>
      <c r="F96" s="3">
        <f t="shared" si="4"/>
        <v>3.6902075004577601</v>
      </c>
      <c r="G96" s="3">
        <f t="shared" si="5"/>
        <v>13.61763139643471</v>
      </c>
    </row>
    <row r="97" spans="1:7" x14ac:dyDescent="0.35">
      <c r="B97" s="12"/>
      <c r="C97" t="s">
        <v>23</v>
      </c>
      <c r="D97" s="6">
        <v>7.6970643997192401</v>
      </c>
      <c r="E97">
        <v>5.05</v>
      </c>
      <c r="F97" s="3">
        <f t="shared" si="4"/>
        <v>2.6470643997192402</v>
      </c>
      <c r="G97" s="3">
        <f t="shared" si="5"/>
        <v>7.0069499362609813</v>
      </c>
    </row>
    <row r="98" spans="1:7" x14ac:dyDescent="0.35">
      <c r="B98" s="12"/>
      <c r="C98" t="s">
        <v>24</v>
      </c>
      <c r="D98" s="6">
        <v>7.2943768501281703</v>
      </c>
      <c r="E98">
        <v>4.4000000000000004</v>
      </c>
      <c r="F98" s="3">
        <f t="shared" si="4"/>
        <v>2.8943768501281699</v>
      </c>
      <c r="G98" s="3">
        <f t="shared" si="5"/>
        <v>8.3774173505578666</v>
      </c>
    </row>
    <row r="99" spans="1:7" x14ac:dyDescent="0.35">
      <c r="A99" s="1"/>
      <c r="B99" s="12"/>
      <c r="C99" t="s">
        <v>25</v>
      </c>
      <c r="D99" s="6">
        <v>8.2150373458862305</v>
      </c>
      <c r="E99">
        <v>8.0500000000000007</v>
      </c>
      <c r="F99" s="3">
        <f t="shared" si="4"/>
        <v>0.16503734588622976</v>
      </c>
      <c r="G99" s="3">
        <f t="shared" si="5"/>
        <v>2.723732553717104E-2</v>
      </c>
    </row>
    <row r="100" spans="1:7" x14ac:dyDescent="0.35">
      <c r="B100" s="12" t="s">
        <v>36</v>
      </c>
      <c r="C100" t="s">
        <v>27</v>
      </c>
      <c r="D100" s="6">
        <v>3.4588291645050102</v>
      </c>
      <c r="E100">
        <v>3.09</v>
      </c>
      <c r="F100" s="3">
        <f t="shared" si="4"/>
        <v>0.36882916450501035</v>
      </c>
      <c r="G100" s="3">
        <f t="shared" si="5"/>
        <v>0.13603495258946399</v>
      </c>
    </row>
    <row r="101" spans="1:7" x14ac:dyDescent="0.35">
      <c r="B101" s="12"/>
      <c r="C101" t="s">
        <v>28</v>
      </c>
      <c r="D101" s="6">
        <v>0.84762668609619096</v>
      </c>
      <c r="E101">
        <v>1.56</v>
      </c>
      <c r="F101" s="3">
        <f t="shared" si="4"/>
        <v>-0.71237331390380909</v>
      </c>
      <c r="G101" s="3">
        <f t="shared" si="5"/>
        <v>0.50747573836229487</v>
      </c>
    </row>
    <row r="102" spans="1:7" x14ac:dyDescent="0.35">
      <c r="B102" s="12"/>
      <c r="C102" t="s">
        <v>29</v>
      </c>
      <c r="D102" s="6">
        <v>2.9108982086181601</v>
      </c>
      <c r="E102">
        <v>3.21</v>
      </c>
      <c r="F102" s="3">
        <f t="shared" si="4"/>
        <v>-0.2991017913818399</v>
      </c>
      <c r="G102" s="3">
        <f t="shared" si="5"/>
        <v>8.9461881607825672E-2</v>
      </c>
    </row>
    <row r="103" spans="1:7" x14ac:dyDescent="0.35">
      <c r="B103" s="12"/>
      <c r="C103" t="s">
        <v>30</v>
      </c>
      <c r="D103" s="6">
        <v>6.0985293388366699</v>
      </c>
      <c r="E103">
        <v>5.13</v>
      </c>
      <c r="F103" s="3">
        <f t="shared" si="4"/>
        <v>0.96852933883667003</v>
      </c>
      <c r="G103" s="3">
        <f t="shared" si="5"/>
        <v>0.93804908018739719</v>
      </c>
    </row>
    <row r="104" spans="1:7" x14ac:dyDescent="0.35">
      <c r="B104" s="12"/>
      <c r="C104" t="s">
        <v>11</v>
      </c>
      <c r="D104" s="6">
        <v>2.1431634426116899</v>
      </c>
      <c r="E104">
        <v>2.83</v>
      </c>
      <c r="F104" s="3">
        <f t="shared" si="4"/>
        <v>-0.68683655738831018</v>
      </c>
      <c r="G104" s="3">
        <f t="shared" si="5"/>
        <v>0.47174445656502551</v>
      </c>
    </row>
    <row r="105" spans="1:7" x14ac:dyDescent="0.35">
      <c r="B105" s="12"/>
      <c r="C105" t="s">
        <v>13</v>
      </c>
      <c r="D105" s="6">
        <v>2.8191168308258101</v>
      </c>
      <c r="E105">
        <v>3.85</v>
      </c>
      <c r="F105" s="3">
        <f t="shared" si="4"/>
        <v>-1.03088316917419</v>
      </c>
      <c r="G105" s="3">
        <f t="shared" si="5"/>
        <v>1.0627201084866216</v>
      </c>
    </row>
    <row r="106" spans="1:7" x14ac:dyDescent="0.35">
      <c r="B106" s="12"/>
      <c r="C106" t="s">
        <v>14</v>
      </c>
      <c r="D106" s="6">
        <v>1.4528992176055899</v>
      </c>
      <c r="E106">
        <v>2.8</v>
      </c>
      <c r="F106" s="3">
        <f t="shared" si="4"/>
        <v>-1.3471007823944099</v>
      </c>
      <c r="G106" s="3">
        <f t="shared" si="5"/>
        <v>1.8146805179276313</v>
      </c>
    </row>
    <row r="107" spans="1:7" x14ac:dyDescent="0.35">
      <c r="B107" s="12"/>
      <c r="C107" t="s">
        <v>16</v>
      </c>
      <c r="D107" s="6">
        <v>1.2978254556655899</v>
      </c>
      <c r="E107">
        <v>2.4900000000000002</v>
      </c>
      <c r="F107" s="3">
        <f t="shared" si="4"/>
        <v>-1.1921745443344103</v>
      </c>
      <c r="G107" s="3">
        <f t="shared" si="5"/>
        <v>1.4212801441589589</v>
      </c>
    </row>
    <row r="108" spans="1:7" x14ac:dyDescent="0.35">
      <c r="A108">
        <v>8</v>
      </c>
      <c r="B108" s="12"/>
      <c r="C108" t="s">
        <v>17</v>
      </c>
      <c r="D108" s="6">
        <v>1.17037808895111</v>
      </c>
      <c r="E108">
        <v>2.0699999999999998</v>
      </c>
      <c r="F108" s="3">
        <f t="shared" si="4"/>
        <v>-0.89962191104888989</v>
      </c>
      <c r="G108" s="3">
        <f t="shared" si="5"/>
        <v>0.80931958283925676</v>
      </c>
    </row>
    <row r="109" spans="1:7" x14ac:dyDescent="0.35">
      <c r="B109" s="12"/>
      <c r="C109" t="s">
        <v>19</v>
      </c>
      <c r="D109" s="6">
        <v>1.9899208545684799</v>
      </c>
      <c r="E109">
        <v>3.07</v>
      </c>
      <c r="F109" s="3">
        <f t="shared" si="4"/>
        <v>-1.0800791454315199</v>
      </c>
      <c r="G109" s="3">
        <f t="shared" si="5"/>
        <v>1.1665709603960823</v>
      </c>
    </row>
    <row r="110" spans="1:7" x14ac:dyDescent="0.35">
      <c r="B110" s="12"/>
      <c r="C110" t="s">
        <v>20</v>
      </c>
      <c r="D110" s="6">
        <v>1.2796422243118299</v>
      </c>
      <c r="E110">
        <v>2.6</v>
      </c>
      <c r="F110" s="3">
        <f t="shared" si="4"/>
        <v>-1.3203577756881701</v>
      </c>
      <c r="G110" s="3">
        <f t="shared" si="5"/>
        <v>1.7433446558202121</v>
      </c>
    </row>
    <row r="111" spans="1:7" x14ac:dyDescent="0.35">
      <c r="B111" s="12"/>
      <c r="C111" t="s">
        <v>21</v>
      </c>
      <c r="D111" s="6">
        <v>1.6084678173065201</v>
      </c>
      <c r="E111">
        <v>2.4900000000000002</v>
      </c>
      <c r="F111" s="3">
        <f t="shared" si="4"/>
        <v>-0.8815321826934801</v>
      </c>
      <c r="G111" s="3">
        <f t="shared" si="5"/>
        <v>0.77709898912433117</v>
      </c>
    </row>
    <row r="112" spans="1:7" x14ac:dyDescent="0.35">
      <c r="B112" s="12"/>
      <c r="C112" t="s">
        <v>22</v>
      </c>
      <c r="D112" s="6">
        <v>2.74417304992676</v>
      </c>
      <c r="E112">
        <v>3.08</v>
      </c>
      <c r="F112" s="3">
        <f t="shared" si="4"/>
        <v>-0.33582695007324004</v>
      </c>
      <c r="G112" s="3">
        <f t="shared" si="5"/>
        <v>0.11277974039549446</v>
      </c>
    </row>
    <row r="113" spans="1:7" x14ac:dyDescent="0.35">
      <c r="B113" s="12"/>
      <c r="C113" t="s">
        <v>23</v>
      </c>
      <c r="D113" s="6">
        <v>1.5557951927185101</v>
      </c>
      <c r="E113">
        <v>2.31</v>
      </c>
      <c r="F113" s="3">
        <f t="shared" si="4"/>
        <v>-0.75420480728148998</v>
      </c>
      <c r="G113" s="3">
        <f t="shared" si="5"/>
        <v>0.56882489132650949</v>
      </c>
    </row>
    <row r="114" spans="1:7" x14ac:dyDescent="0.35">
      <c r="B114" s="12"/>
      <c r="C114" t="s">
        <v>24</v>
      </c>
      <c r="D114" s="6">
        <v>1.3411569595336901</v>
      </c>
      <c r="E114">
        <v>2.54</v>
      </c>
      <c r="F114" s="3">
        <f t="shared" si="4"/>
        <v>-1.19884304046631</v>
      </c>
      <c r="G114" s="3">
        <f t="shared" si="5"/>
        <v>1.4372246356745064</v>
      </c>
    </row>
    <row r="115" spans="1:7" x14ac:dyDescent="0.35">
      <c r="A115" s="1"/>
      <c r="B115" s="12"/>
      <c r="C115" t="s">
        <v>25</v>
      </c>
      <c r="D115" s="6">
        <v>3.0861001014709499</v>
      </c>
      <c r="E115">
        <v>4.24</v>
      </c>
      <c r="F115" s="3">
        <f t="shared" si="4"/>
        <v>-1.1538998985290503</v>
      </c>
      <c r="G115" s="3">
        <f t="shared" si="5"/>
        <v>1.3314849758253526</v>
      </c>
    </row>
    <row r="116" spans="1:7" x14ac:dyDescent="0.35">
      <c r="B116" s="12" t="s">
        <v>37</v>
      </c>
      <c r="C116" t="s">
        <v>27</v>
      </c>
      <c r="D116" s="6">
        <v>7.9618272781372097</v>
      </c>
      <c r="E116">
        <v>6.55</v>
      </c>
      <c r="F116" s="3">
        <f t="shared" si="4"/>
        <v>1.4118272781372099</v>
      </c>
      <c r="G116" s="3">
        <f t="shared" si="5"/>
        <v>1.9932562632923225</v>
      </c>
    </row>
    <row r="117" spans="1:7" x14ac:dyDescent="0.35">
      <c r="B117" s="12"/>
      <c r="C117" t="s">
        <v>28</v>
      </c>
      <c r="D117" s="6">
        <v>2.9149236679077202</v>
      </c>
      <c r="E117">
        <v>1.59</v>
      </c>
      <c r="F117" s="3">
        <f t="shared" si="4"/>
        <v>1.3249236679077201</v>
      </c>
      <c r="G117" s="3">
        <f t="shared" si="5"/>
        <v>1.7554227257820465</v>
      </c>
    </row>
    <row r="118" spans="1:7" x14ac:dyDescent="0.35">
      <c r="B118" s="12"/>
      <c r="C118" t="s">
        <v>29</v>
      </c>
      <c r="D118" s="6">
        <v>7.9541120529174796</v>
      </c>
      <c r="E118">
        <v>5.94</v>
      </c>
      <c r="F118" s="3">
        <f t="shared" si="4"/>
        <v>2.0141120529174792</v>
      </c>
      <c r="G118" s="3">
        <f t="shared" si="5"/>
        <v>4.0566473617074621</v>
      </c>
    </row>
    <row r="119" spans="1:7" x14ac:dyDescent="0.35">
      <c r="B119" s="12"/>
      <c r="C119" t="s">
        <v>30</v>
      </c>
      <c r="D119" s="6">
        <v>8.5244693756103498</v>
      </c>
      <c r="E119">
        <v>7.96</v>
      </c>
      <c r="F119" s="3">
        <f t="shared" si="4"/>
        <v>0.56446937561034982</v>
      </c>
      <c r="G119" s="3">
        <f t="shared" si="5"/>
        <v>0.3186256760019382</v>
      </c>
    </row>
    <row r="120" spans="1:7" x14ac:dyDescent="0.35">
      <c r="B120" s="12"/>
      <c r="C120" t="s">
        <v>11</v>
      </c>
      <c r="D120" s="6">
        <v>7.5633044242858896</v>
      </c>
      <c r="E120">
        <v>4.95</v>
      </c>
      <c r="F120" s="3">
        <f t="shared" si="4"/>
        <v>2.6133044242858894</v>
      </c>
      <c r="G120" s="3">
        <f t="shared" si="5"/>
        <v>6.8293600139922042</v>
      </c>
    </row>
    <row r="121" spans="1:7" x14ac:dyDescent="0.35">
      <c r="B121" s="12"/>
      <c r="C121" t="s">
        <v>13</v>
      </c>
      <c r="D121" s="6">
        <v>8.1803655624389702</v>
      </c>
      <c r="E121">
        <v>7.62</v>
      </c>
      <c r="F121" s="3">
        <f t="shared" si="4"/>
        <v>0.56036556243897007</v>
      </c>
      <c r="G121" s="3">
        <f t="shared" si="5"/>
        <v>0.31400956356754328</v>
      </c>
    </row>
    <row r="122" spans="1:7" x14ac:dyDescent="0.35">
      <c r="B122" s="12"/>
      <c r="C122" t="s">
        <v>14</v>
      </c>
      <c r="D122" s="6">
        <v>4.0383586883544904</v>
      </c>
      <c r="E122">
        <v>2.77</v>
      </c>
      <c r="F122" s="3">
        <f t="shared" si="4"/>
        <v>1.2683586883544904</v>
      </c>
      <c r="G122" s="3">
        <f t="shared" si="5"/>
        <v>1.6087337623243232</v>
      </c>
    </row>
    <row r="123" spans="1:7" x14ac:dyDescent="0.35">
      <c r="B123" s="12"/>
      <c r="C123" t="s">
        <v>16</v>
      </c>
      <c r="D123" s="6">
        <v>6.4694113731384304</v>
      </c>
      <c r="E123">
        <v>2.58</v>
      </c>
      <c r="F123" s="3">
        <f t="shared" si="4"/>
        <v>3.8894113731384303</v>
      </c>
      <c r="G123" s="3">
        <f t="shared" si="5"/>
        <v>15.12752082949857</v>
      </c>
    </row>
    <row r="124" spans="1:7" x14ac:dyDescent="0.35">
      <c r="A124">
        <v>9</v>
      </c>
      <c r="B124" s="12"/>
      <c r="C124" t="s">
        <v>17</v>
      </c>
      <c r="D124" s="6">
        <v>5.86962795257568</v>
      </c>
      <c r="E124">
        <v>1.98</v>
      </c>
      <c r="F124" s="3">
        <f t="shared" si="4"/>
        <v>3.8896279525756801</v>
      </c>
      <c r="G124" s="3">
        <f t="shared" si="5"/>
        <v>15.129205609458078</v>
      </c>
    </row>
    <row r="125" spans="1:7" x14ac:dyDescent="0.35">
      <c r="B125" s="12"/>
      <c r="C125" t="s">
        <v>19</v>
      </c>
      <c r="D125" s="6">
        <v>7.6049075126648003</v>
      </c>
      <c r="E125">
        <v>4.82</v>
      </c>
      <c r="F125" s="3">
        <f t="shared" si="4"/>
        <v>2.7849075126648</v>
      </c>
      <c r="G125" s="3">
        <f t="shared" si="5"/>
        <v>7.7557098540968425</v>
      </c>
    </row>
    <row r="126" spans="1:7" x14ac:dyDescent="0.35">
      <c r="B126" s="12"/>
      <c r="C126" t="s">
        <v>20</v>
      </c>
      <c r="D126" s="6">
        <v>6.4352269172668501</v>
      </c>
      <c r="E126">
        <v>4.29</v>
      </c>
      <c r="F126" s="3">
        <f t="shared" si="4"/>
        <v>2.1452269172668501</v>
      </c>
      <c r="G126" s="3">
        <f t="shared" si="5"/>
        <v>4.6019985265662333</v>
      </c>
    </row>
    <row r="127" spans="1:7" x14ac:dyDescent="0.35">
      <c r="B127" s="12"/>
      <c r="C127" t="s">
        <v>21</v>
      </c>
      <c r="D127" s="6">
        <v>6.3637981414794904</v>
      </c>
      <c r="E127">
        <v>2.4700000000000002</v>
      </c>
      <c r="F127" s="3">
        <f t="shared" si="4"/>
        <v>3.8937981414794902</v>
      </c>
      <c r="G127" s="3">
        <f t="shared" si="5"/>
        <v>15.161663966589131</v>
      </c>
    </row>
    <row r="128" spans="1:7" x14ac:dyDescent="0.35">
      <c r="B128" s="12"/>
      <c r="C128" t="s">
        <v>22</v>
      </c>
      <c r="D128" s="6">
        <v>6.17327833175659</v>
      </c>
      <c r="E128">
        <v>2.85</v>
      </c>
      <c r="F128" s="3">
        <f t="shared" si="4"/>
        <v>3.3232783317565899</v>
      </c>
      <c r="G128" s="3">
        <f t="shared" si="5"/>
        <v>11.044178870322863</v>
      </c>
    </row>
    <row r="129" spans="1:7" x14ac:dyDescent="0.35">
      <c r="B129" s="12"/>
      <c r="C129" t="s">
        <v>23</v>
      </c>
      <c r="D129" s="6">
        <v>5.8360567092895499</v>
      </c>
      <c r="E129">
        <v>2.34</v>
      </c>
      <c r="F129" s="3">
        <f t="shared" si="4"/>
        <v>3.49605670928955</v>
      </c>
      <c r="G129" s="3">
        <f t="shared" si="5"/>
        <v>12.222412514568477</v>
      </c>
    </row>
    <row r="130" spans="1:7" x14ac:dyDescent="0.35">
      <c r="B130" s="12"/>
      <c r="C130" t="s">
        <v>24</v>
      </c>
      <c r="D130" s="6">
        <v>6.6315684318542498</v>
      </c>
      <c r="E130">
        <v>2.89</v>
      </c>
      <c r="F130" s="3">
        <f t="shared" si="4"/>
        <v>3.7415684318542497</v>
      </c>
      <c r="G130" s="3">
        <f t="shared" si="5"/>
        <v>13.999334330248269</v>
      </c>
    </row>
    <row r="131" spans="1:7" x14ac:dyDescent="0.35">
      <c r="A131" s="1"/>
      <c r="B131" s="12"/>
      <c r="C131" t="s">
        <v>25</v>
      </c>
      <c r="D131" s="6">
        <v>7.7206749916076696</v>
      </c>
      <c r="E131">
        <v>7.58</v>
      </c>
      <c r="F131" s="3">
        <f t="shared" ref="F131:F194" si="6">D131-E131</f>
        <v>0.1406749916076695</v>
      </c>
      <c r="G131" s="3">
        <f t="shared" ref="G131:G194" si="7">F131^2</f>
        <v>1.9789453263817883E-2</v>
      </c>
    </row>
    <row r="132" spans="1:7" x14ac:dyDescent="0.35">
      <c r="B132" s="12" t="s">
        <v>38</v>
      </c>
      <c r="C132" t="s">
        <v>27</v>
      </c>
      <c r="D132" s="6">
        <v>4.0738792419433603</v>
      </c>
      <c r="E132">
        <v>3.8500000000000005</v>
      </c>
      <c r="F132" s="3">
        <f t="shared" si="6"/>
        <v>0.22387924194335973</v>
      </c>
      <c r="G132" s="3">
        <f t="shared" si="7"/>
        <v>5.0121914973133404E-2</v>
      </c>
    </row>
    <row r="133" spans="1:7" x14ac:dyDescent="0.35">
      <c r="B133" s="12"/>
      <c r="C133" t="s">
        <v>28</v>
      </c>
      <c r="D133" s="6">
        <v>1.35436511039734</v>
      </c>
      <c r="E133">
        <v>1.46</v>
      </c>
      <c r="F133" s="3">
        <f t="shared" si="6"/>
        <v>-0.10563488960265999</v>
      </c>
      <c r="G133" s="3">
        <f t="shared" si="7"/>
        <v>1.1158729901366163E-2</v>
      </c>
    </row>
    <row r="134" spans="1:7" x14ac:dyDescent="0.35">
      <c r="B134" s="12"/>
      <c r="C134" t="s">
        <v>29</v>
      </c>
      <c r="D134" s="6">
        <v>3.66083788871765</v>
      </c>
      <c r="E134">
        <v>4.41</v>
      </c>
      <c r="F134" s="3">
        <f t="shared" si="6"/>
        <v>-0.74916211128235011</v>
      </c>
      <c r="G134" s="3">
        <f t="shared" si="7"/>
        <v>0.56124386898102829</v>
      </c>
    </row>
    <row r="135" spans="1:7" x14ac:dyDescent="0.35">
      <c r="B135" s="12"/>
      <c r="C135" t="s">
        <v>30</v>
      </c>
      <c r="D135" s="6">
        <v>8.4517955780029297</v>
      </c>
      <c r="E135">
        <v>6.1000000000000005</v>
      </c>
      <c r="F135" s="3">
        <f t="shared" si="6"/>
        <v>2.3517955780029292</v>
      </c>
      <c r="G135" s="3">
        <f t="shared" si="7"/>
        <v>5.5309424407141314</v>
      </c>
    </row>
    <row r="136" spans="1:7" x14ac:dyDescent="0.35">
      <c r="B136" s="12"/>
      <c r="C136" t="s">
        <v>11</v>
      </c>
      <c r="D136" s="6">
        <v>2.3384270668029798</v>
      </c>
      <c r="E136">
        <v>3.4299999999999997</v>
      </c>
      <c r="F136" s="3">
        <f t="shared" si="6"/>
        <v>-1.0915729331970199</v>
      </c>
      <c r="G136" s="3">
        <f t="shared" si="7"/>
        <v>1.1915314684883456</v>
      </c>
    </row>
    <row r="137" spans="1:7" x14ac:dyDescent="0.35">
      <c r="B137" s="12"/>
      <c r="C137" t="s">
        <v>13</v>
      </c>
      <c r="D137" s="6">
        <v>1.90528893470764</v>
      </c>
      <c r="E137">
        <v>2.9400000000000004</v>
      </c>
      <c r="F137" s="3">
        <f t="shared" si="6"/>
        <v>-1.0347110652923603</v>
      </c>
      <c r="G137" s="3">
        <f t="shared" si="7"/>
        <v>1.0706269886384512</v>
      </c>
    </row>
    <row r="138" spans="1:7" x14ac:dyDescent="0.35">
      <c r="B138" s="12"/>
      <c r="C138" t="s">
        <v>14</v>
      </c>
      <c r="D138" s="6">
        <v>2.1225728988647501</v>
      </c>
      <c r="E138">
        <v>3.08</v>
      </c>
      <c r="F138" s="3">
        <f t="shared" si="6"/>
        <v>-0.95742710113524998</v>
      </c>
      <c r="G138" s="3">
        <f t="shared" si="7"/>
        <v>0.9166666539882482</v>
      </c>
    </row>
    <row r="139" spans="1:7" x14ac:dyDescent="0.35">
      <c r="B139" s="12"/>
      <c r="C139" t="s">
        <v>16</v>
      </c>
      <c r="D139" s="6">
        <v>2.4952099323272701</v>
      </c>
      <c r="E139">
        <v>3.42</v>
      </c>
      <c r="F139" s="3">
        <f t="shared" si="6"/>
        <v>-0.92479006767272987</v>
      </c>
      <c r="G139" s="3">
        <f t="shared" si="7"/>
        <v>0.85523666926613229</v>
      </c>
    </row>
    <row r="140" spans="1:7" x14ac:dyDescent="0.35">
      <c r="A140">
        <v>10</v>
      </c>
      <c r="B140" s="12"/>
      <c r="C140" t="s">
        <v>17</v>
      </c>
      <c r="D140" s="6">
        <v>1.8521910905837999</v>
      </c>
      <c r="E140">
        <v>2.39</v>
      </c>
      <c r="F140" s="3">
        <f t="shared" si="6"/>
        <v>-0.53780890941620019</v>
      </c>
      <c r="G140" s="3">
        <f t="shared" si="7"/>
        <v>0.28923842304744263</v>
      </c>
    </row>
    <row r="141" spans="1:7" x14ac:dyDescent="0.35">
      <c r="B141" s="12"/>
      <c r="C141" t="s">
        <v>19</v>
      </c>
      <c r="D141" s="6">
        <v>1.5725284814834599</v>
      </c>
      <c r="E141">
        <v>2.6900000000000004</v>
      </c>
      <c r="F141" s="3">
        <f t="shared" si="6"/>
        <v>-1.1174715185165405</v>
      </c>
      <c r="G141" s="3">
        <f t="shared" si="7"/>
        <v>1.248742594695663</v>
      </c>
    </row>
    <row r="142" spans="1:7" x14ac:dyDescent="0.35">
      <c r="B142" s="12"/>
      <c r="C142" t="s">
        <v>20</v>
      </c>
      <c r="D142" s="6">
        <v>2.67950439453125</v>
      </c>
      <c r="E142">
        <v>3.1799999999999997</v>
      </c>
      <c r="F142" s="3">
        <f t="shared" si="6"/>
        <v>-0.50049560546874972</v>
      </c>
      <c r="G142" s="3">
        <f t="shared" si="7"/>
        <v>0.2504958510935304</v>
      </c>
    </row>
    <row r="143" spans="1:7" x14ac:dyDescent="0.35">
      <c r="B143" s="12"/>
      <c r="C143" t="s">
        <v>21</v>
      </c>
      <c r="D143" s="6">
        <v>2.6814935207366899</v>
      </c>
      <c r="E143">
        <v>3.41</v>
      </c>
      <c r="F143" s="3">
        <f t="shared" si="6"/>
        <v>-0.72850647926331025</v>
      </c>
      <c r="G143" s="3">
        <f t="shared" si="7"/>
        <v>0.53072169032862393</v>
      </c>
    </row>
    <row r="144" spans="1:7" x14ac:dyDescent="0.35">
      <c r="B144" s="12"/>
      <c r="C144" t="s">
        <v>22</v>
      </c>
      <c r="D144" s="6">
        <v>3.46857810020447</v>
      </c>
      <c r="E144">
        <v>3.91</v>
      </c>
      <c r="F144" s="3">
        <f t="shared" si="6"/>
        <v>-0.44142189979553015</v>
      </c>
      <c r="G144" s="3">
        <f t="shared" si="7"/>
        <v>0.19485329361909506</v>
      </c>
    </row>
    <row r="145" spans="1:7" x14ac:dyDescent="0.35">
      <c r="B145" s="12"/>
      <c r="C145" t="s">
        <v>23</v>
      </c>
      <c r="D145" s="6">
        <v>1.7326465845107999</v>
      </c>
      <c r="E145">
        <v>2.7700000000000005</v>
      </c>
      <c r="F145" s="3">
        <f t="shared" si="6"/>
        <v>-1.0373534154892006</v>
      </c>
      <c r="G145" s="3">
        <f t="shared" si="7"/>
        <v>1.0761021086271101</v>
      </c>
    </row>
    <row r="146" spans="1:7" x14ac:dyDescent="0.35">
      <c r="B146" s="12"/>
      <c r="C146" t="s">
        <v>24</v>
      </c>
      <c r="D146" s="6">
        <v>1.7189974784851101</v>
      </c>
      <c r="E146">
        <v>2.33</v>
      </c>
      <c r="F146" s="3">
        <f t="shared" si="6"/>
        <v>-0.61100252151488998</v>
      </c>
      <c r="G146" s="3">
        <f t="shared" si="7"/>
        <v>0.37332408129755362</v>
      </c>
    </row>
    <row r="147" spans="1:7" x14ac:dyDescent="0.35">
      <c r="A147" s="1"/>
      <c r="B147" s="12"/>
      <c r="C147" t="s">
        <v>25</v>
      </c>
      <c r="D147" s="6">
        <v>4.8496851921081499</v>
      </c>
      <c r="E147">
        <v>5.82</v>
      </c>
      <c r="F147" s="3">
        <f t="shared" si="6"/>
        <v>-0.97031480789185043</v>
      </c>
      <c r="G147" s="3">
        <f t="shared" si="7"/>
        <v>0.94151082641419859</v>
      </c>
    </row>
    <row r="148" spans="1:7" x14ac:dyDescent="0.35">
      <c r="B148" s="12" t="s">
        <v>39</v>
      </c>
      <c r="C148" t="s">
        <v>20</v>
      </c>
      <c r="D148" s="6">
        <v>1.4560068845748899</v>
      </c>
      <c r="E148">
        <v>2.41</v>
      </c>
      <c r="F148" s="3">
        <f t="shared" si="6"/>
        <v>-0.95399311542511023</v>
      </c>
      <c r="G148" s="3">
        <f t="shared" si="7"/>
        <v>0.91010286427850773</v>
      </c>
    </row>
    <row r="149" spans="1:7" x14ac:dyDescent="0.35">
      <c r="B149" s="12"/>
      <c r="C149" t="s">
        <v>21</v>
      </c>
      <c r="D149" s="6">
        <v>1.55275595188141</v>
      </c>
      <c r="E149">
        <v>2.46</v>
      </c>
      <c r="F149" s="3">
        <f t="shared" si="6"/>
        <v>-0.90724404811858994</v>
      </c>
      <c r="G149" s="3">
        <f t="shared" si="7"/>
        <v>0.82309176284660635</v>
      </c>
    </row>
    <row r="150" spans="1:7" x14ac:dyDescent="0.35">
      <c r="B150" s="12"/>
      <c r="C150" t="s">
        <v>22</v>
      </c>
      <c r="D150" s="6">
        <v>2.3596782684326199</v>
      </c>
      <c r="E150">
        <v>3.12</v>
      </c>
      <c r="F150" s="3">
        <f t="shared" si="6"/>
        <v>-0.76032173156738025</v>
      </c>
      <c r="G150" s="3">
        <f t="shared" si="7"/>
        <v>0.5780891354936194</v>
      </c>
    </row>
    <row r="151" spans="1:7" x14ac:dyDescent="0.35">
      <c r="B151" s="12"/>
      <c r="C151" t="s">
        <v>23</v>
      </c>
      <c r="D151" s="6">
        <v>1.44899773597717</v>
      </c>
      <c r="E151">
        <v>2.12</v>
      </c>
      <c r="F151" s="3">
        <f t="shared" si="6"/>
        <v>-0.67100226402283014</v>
      </c>
      <c r="G151" s="3">
        <f t="shared" si="7"/>
        <v>0.45024403832376386</v>
      </c>
    </row>
    <row r="152" spans="1:7" x14ac:dyDescent="0.35">
      <c r="A152">
        <v>11</v>
      </c>
      <c r="B152" s="12"/>
      <c r="C152" t="s">
        <v>24</v>
      </c>
      <c r="D152" s="6">
        <v>1.2768319845199601</v>
      </c>
      <c r="E152">
        <v>2.1</v>
      </c>
      <c r="F152" s="3">
        <f t="shared" si="6"/>
        <v>-0.82316801548004004</v>
      </c>
      <c r="G152" s="3">
        <f t="shared" si="7"/>
        <v>0.67760558170934748</v>
      </c>
    </row>
    <row r="153" spans="1:7" x14ac:dyDescent="0.35">
      <c r="A153" s="1"/>
      <c r="B153" s="12"/>
      <c r="C153" t="s">
        <v>25</v>
      </c>
      <c r="D153" s="6">
        <v>2.5884561538696298</v>
      </c>
      <c r="E153">
        <v>4.07</v>
      </c>
      <c r="F153" s="3">
        <f t="shared" si="6"/>
        <v>-1.4815438461303705</v>
      </c>
      <c r="G153" s="3">
        <f t="shared" si="7"/>
        <v>2.1949721680067711</v>
      </c>
    </row>
    <row r="154" spans="1:7" x14ac:dyDescent="0.35">
      <c r="B154" s="12" t="s">
        <v>40</v>
      </c>
      <c r="C154" t="s">
        <v>27</v>
      </c>
      <c r="D154" s="6">
        <v>4.8929705619812003</v>
      </c>
      <c r="E154">
        <v>3.9799999999999995</v>
      </c>
      <c r="F154" s="3">
        <f t="shared" si="6"/>
        <v>0.91297056198120075</v>
      </c>
      <c r="G154" s="3">
        <f t="shared" si="7"/>
        <v>0.83351524704426949</v>
      </c>
    </row>
    <row r="155" spans="1:7" x14ac:dyDescent="0.35">
      <c r="B155" s="12"/>
      <c r="C155" t="s">
        <v>28</v>
      </c>
      <c r="D155" s="6">
        <v>1.3260631561279299</v>
      </c>
      <c r="E155">
        <v>1.33</v>
      </c>
      <c r="F155" s="3">
        <f t="shared" si="6"/>
        <v>-3.9368438720701615E-3</v>
      </c>
      <c r="G155" s="3">
        <f t="shared" si="7"/>
        <v>1.5498739673056383E-5</v>
      </c>
    </row>
    <row r="156" spans="1:7" x14ac:dyDescent="0.35">
      <c r="B156" s="12"/>
      <c r="C156" t="s">
        <v>29</v>
      </c>
      <c r="D156" s="6">
        <v>3.5101194381713898</v>
      </c>
      <c r="E156">
        <v>4.24</v>
      </c>
      <c r="F156" s="3">
        <f t="shared" si="6"/>
        <v>-0.72988056182861039</v>
      </c>
      <c r="G156" s="3">
        <f t="shared" si="7"/>
        <v>0.5327256345352479</v>
      </c>
    </row>
    <row r="157" spans="1:7" x14ac:dyDescent="0.35">
      <c r="B157" s="12"/>
      <c r="C157" t="s">
        <v>30</v>
      </c>
      <c r="D157" s="6">
        <v>7.0889930725097701</v>
      </c>
      <c r="E157">
        <v>5.96</v>
      </c>
      <c r="F157" s="3">
        <f t="shared" si="6"/>
        <v>1.1289930725097701</v>
      </c>
      <c r="G157" s="3">
        <f t="shared" si="7"/>
        <v>1.274625357775051</v>
      </c>
    </row>
    <row r="158" spans="1:7" x14ac:dyDescent="0.35">
      <c r="B158" s="12"/>
      <c r="C158" t="s">
        <v>11</v>
      </c>
      <c r="D158" s="6">
        <v>2.2785804271697998</v>
      </c>
      <c r="E158">
        <v>3.2199999999999998</v>
      </c>
      <c r="F158" s="3">
        <f t="shared" si="6"/>
        <v>-0.94141957283019995</v>
      </c>
      <c r="G158" s="3">
        <f t="shared" si="7"/>
        <v>0.88627081210779612</v>
      </c>
    </row>
    <row r="159" spans="1:7" x14ac:dyDescent="0.35">
      <c r="B159" s="12"/>
      <c r="C159" t="s">
        <v>13</v>
      </c>
      <c r="D159" s="6">
        <v>2.2421641349792498</v>
      </c>
      <c r="E159">
        <v>2.98</v>
      </c>
      <c r="F159" s="3">
        <f t="shared" si="6"/>
        <v>-0.73783586502075016</v>
      </c>
      <c r="G159" s="3">
        <f t="shared" si="7"/>
        <v>0.54440176371091864</v>
      </c>
    </row>
    <row r="160" spans="1:7" x14ac:dyDescent="0.35">
      <c r="B160" s="12"/>
      <c r="C160" t="s">
        <v>14</v>
      </c>
      <c r="D160" s="6">
        <v>2.04465532302856</v>
      </c>
      <c r="E160">
        <v>2.78</v>
      </c>
      <c r="F160" s="3">
        <f t="shared" si="6"/>
        <v>-0.73534467697143979</v>
      </c>
      <c r="G160" s="3">
        <f t="shared" si="7"/>
        <v>0.54073179395023119</v>
      </c>
    </row>
    <row r="161" spans="1:7" x14ac:dyDescent="0.35">
      <c r="A161">
        <v>12</v>
      </c>
      <c r="B161" s="12"/>
      <c r="C161" t="s">
        <v>16</v>
      </c>
      <c r="D161" s="6">
        <v>2.3596179485321001</v>
      </c>
      <c r="E161">
        <v>3.01</v>
      </c>
      <c r="F161" s="3">
        <f t="shared" si="6"/>
        <v>-0.65038205146789974</v>
      </c>
      <c r="G161" s="3">
        <f t="shared" si="7"/>
        <v>0.4229968128715938</v>
      </c>
    </row>
    <row r="162" spans="1:7" x14ac:dyDescent="0.35">
      <c r="B162" s="12"/>
      <c r="C162" t="s">
        <v>17</v>
      </c>
      <c r="D162" s="6">
        <v>1.76886594295502</v>
      </c>
      <c r="E162">
        <v>2.0499999999999998</v>
      </c>
      <c r="F162" s="3">
        <f t="shared" si="6"/>
        <v>-0.28113405704497985</v>
      </c>
      <c r="G162" s="3">
        <f t="shared" si="7"/>
        <v>7.9036358030569978E-2</v>
      </c>
    </row>
    <row r="163" spans="1:7" x14ac:dyDescent="0.35">
      <c r="B163" s="12"/>
      <c r="C163" t="s">
        <v>19</v>
      </c>
      <c r="D163" s="6">
        <v>1.5771850347518901</v>
      </c>
      <c r="E163">
        <v>2.38</v>
      </c>
      <c r="F163" s="3">
        <f t="shared" si="6"/>
        <v>-0.8028149652481098</v>
      </c>
      <c r="G163" s="3">
        <f t="shared" si="7"/>
        <v>0.6445118684263238</v>
      </c>
    </row>
    <row r="164" spans="1:7" x14ac:dyDescent="0.35">
      <c r="B164" s="12"/>
      <c r="C164" t="s">
        <v>20</v>
      </c>
      <c r="D164" s="6">
        <v>2.4269831180572501</v>
      </c>
      <c r="E164">
        <v>2.82</v>
      </c>
      <c r="F164" s="3">
        <f t="shared" si="6"/>
        <v>-0.39301688194274975</v>
      </c>
      <c r="G164" s="3">
        <f t="shared" si="7"/>
        <v>0.15446226949200129</v>
      </c>
    </row>
    <row r="165" spans="1:7" x14ac:dyDescent="0.35">
      <c r="B165" s="12"/>
      <c r="C165" t="s">
        <v>21</v>
      </c>
      <c r="D165" s="6">
        <v>2.5161905288696298</v>
      </c>
      <c r="E165">
        <v>3.07</v>
      </c>
      <c r="F165" s="3">
        <f t="shared" si="6"/>
        <v>-0.55380947113037005</v>
      </c>
      <c r="G165" s="3">
        <f t="shared" si="7"/>
        <v>0.30670493031370016</v>
      </c>
    </row>
    <row r="166" spans="1:7" x14ac:dyDescent="0.35">
      <c r="B166" s="12"/>
      <c r="C166" t="s">
        <v>22</v>
      </c>
      <c r="D166" s="6">
        <v>3.2574110031127899</v>
      </c>
      <c r="E166">
        <v>3.54</v>
      </c>
      <c r="F166" s="3">
        <f t="shared" si="6"/>
        <v>-0.28258899688721018</v>
      </c>
      <c r="G166" s="3">
        <f t="shared" si="7"/>
        <v>7.9856541161719682E-2</v>
      </c>
    </row>
    <row r="167" spans="1:7" x14ac:dyDescent="0.35">
      <c r="B167" s="12"/>
      <c r="C167" t="s">
        <v>23</v>
      </c>
      <c r="D167" s="6">
        <v>3.1734673976898198</v>
      </c>
      <c r="E167">
        <v>2.4499999999999997</v>
      </c>
      <c r="F167" s="3">
        <f t="shared" si="6"/>
        <v>0.72346739768982005</v>
      </c>
      <c r="G167" s="3">
        <f t="shared" si="7"/>
        <v>0.5234050755200802</v>
      </c>
    </row>
    <row r="168" spans="1:7" x14ac:dyDescent="0.35">
      <c r="B168" s="12"/>
      <c r="C168" t="s">
        <v>24</v>
      </c>
      <c r="D168" s="6">
        <v>1.6521128416061399</v>
      </c>
      <c r="E168">
        <v>2.0699999999999998</v>
      </c>
      <c r="F168" s="3">
        <f t="shared" si="6"/>
        <v>-0.41788715839385993</v>
      </c>
      <c r="G168" s="3">
        <f t="shared" si="7"/>
        <v>0.17462967715049496</v>
      </c>
    </row>
    <row r="169" spans="1:7" x14ac:dyDescent="0.35">
      <c r="A169" s="1"/>
      <c r="B169" s="12"/>
      <c r="C169" t="s">
        <v>25</v>
      </c>
      <c r="D169" s="6">
        <v>3.73580694198608</v>
      </c>
      <c r="E169">
        <v>4.99</v>
      </c>
      <c r="F169" s="3">
        <f t="shared" si="6"/>
        <v>-1.2541930580139202</v>
      </c>
      <c r="G169" s="3">
        <f t="shared" si="7"/>
        <v>1.5730002267703087</v>
      </c>
    </row>
    <row r="170" spans="1:7" x14ac:dyDescent="0.35">
      <c r="B170" s="12" t="s">
        <v>41</v>
      </c>
      <c r="C170" t="s">
        <v>11</v>
      </c>
      <c r="D170" s="6">
        <v>3.0304300785064702</v>
      </c>
      <c r="E170">
        <v>3.64</v>
      </c>
      <c r="F170" s="3">
        <f t="shared" si="6"/>
        <v>-0.60956992149352995</v>
      </c>
      <c r="G170" s="3">
        <f t="shared" si="7"/>
        <v>0.37157548918962829</v>
      </c>
    </row>
    <row r="171" spans="1:7" x14ac:dyDescent="0.35">
      <c r="B171" s="12"/>
      <c r="C171" t="s">
        <v>13</v>
      </c>
      <c r="D171" s="6">
        <v>3.3617844581603999</v>
      </c>
      <c r="E171">
        <v>3.63</v>
      </c>
      <c r="F171" s="3">
        <f t="shared" si="6"/>
        <v>-0.26821554183959995</v>
      </c>
      <c r="G171" s="3">
        <f t="shared" si="7"/>
        <v>7.1939576884310186E-2</v>
      </c>
    </row>
    <row r="172" spans="1:7" x14ac:dyDescent="0.35">
      <c r="B172" s="12"/>
      <c r="C172" t="s">
        <v>14</v>
      </c>
      <c r="D172" s="6">
        <v>1.8728837966918901</v>
      </c>
      <c r="E172">
        <v>2.78</v>
      </c>
      <c r="F172" s="3">
        <f t="shared" si="6"/>
        <v>-0.90711620330810971</v>
      </c>
      <c r="G172" s="3">
        <f t="shared" si="7"/>
        <v>0.82285980630411981</v>
      </c>
    </row>
    <row r="173" spans="1:7" x14ac:dyDescent="0.35">
      <c r="B173" s="12"/>
      <c r="C173" t="s">
        <v>16</v>
      </c>
      <c r="D173" s="6">
        <v>3.5841221809387198</v>
      </c>
      <c r="E173">
        <v>3.5</v>
      </c>
      <c r="F173" s="3">
        <f t="shared" si="6"/>
        <v>8.4122180938719815E-2</v>
      </c>
      <c r="G173" s="3">
        <f t="shared" si="7"/>
        <v>7.0765413258867156E-3</v>
      </c>
    </row>
    <row r="174" spans="1:7" x14ac:dyDescent="0.35">
      <c r="B174" s="12"/>
      <c r="C174" t="s">
        <v>17</v>
      </c>
      <c r="D174" s="6">
        <v>1.5585350990295399</v>
      </c>
      <c r="E174">
        <v>2.15</v>
      </c>
      <c r="F174" s="3">
        <f t="shared" si="6"/>
        <v>-0.59146490097046001</v>
      </c>
      <c r="G174" s="3">
        <f t="shared" si="7"/>
        <v>0.34983072907999607</v>
      </c>
    </row>
    <row r="175" spans="1:7" x14ac:dyDescent="0.35">
      <c r="B175" s="12"/>
      <c r="C175" t="s">
        <v>19</v>
      </c>
      <c r="D175" s="6">
        <v>2.0701386928558398</v>
      </c>
      <c r="E175">
        <v>2.89</v>
      </c>
      <c r="F175" s="3">
        <f t="shared" si="6"/>
        <v>-0.81986130714416028</v>
      </c>
      <c r="G175" s="3">
        <f t="shared" si="7"/>
        <v>0.67217256295213113</v>
      </c>
    </row>
    <row r="176" spans="1:7" x14ac:dyDescent="0.35">
      <c r="A176">
        <v>13</v>
      </c>
      <c r="B176" s="12"/>
      <c r="C176" t="s">
        <v>20</v>
      </c>
      <c r="D176" s="6">
        <v>2.6317408084869398</v>
      </c>
      <c r="E176">
        <v>3.08</v>
      </c>
      <c r="F176" s="3">
        <f t="shared" si="6"/>
        <v>-0.44825919151306026</v>
      </c>
      <c r="G176" s="3">
        <f t="shared" si="7"/>
        <v>0.20093630277594243</v>
      </c>
    </row>
    <row r="177" spans="1:7" x14ac:dyDescent="0.35">
      <c r="B177" s="12"/>
      <c r="C177" t="s">
        <v>21</v>
      </c>
      <c r="D177" s="6">
        <v>2.56960129737854</v>
      </c>
      <c r="E177">
        <v>3.2</v>
      </c>
      <c r="F177" s="3">
        <f t="shared" si="6"/>
        <v>-0.63039870262146014</v>
      </c>
      <c r="G177" s="3">
        <f t="shared" si="7"/>
        <v>0.39740252426682016</v>
      </c>
    </row>
    <row r="178" spans="1:7" x14ac:dyDescent="0.35">
      <c r="B178" s="12"/>
      <c r="C178" t="s">
        <v>22</v>
      </c>
      <c r="D178" s="6">
        <v>3.2625987529754599</v>
      </c>
      <c r="E178">
        <v>3.64</v>
      </c>
      <c r="F178" s="3">
        <f t="shared" si="6"/>
        <v>-0.37740124702454025</v>
      </c>
      <c r="G178" s="3">
        <f t="shared" si="7"/>
        <v>0.14243170125567806</v>
      </c>
    </row>
    <row r="179" spans="1:7" x14ac:dyDescent="0.35">
      <c r="B179" s="12"/>
      <c r="C179" t="s">
        <v>23</v>
      </c>
      <c r="D179" s="6">
        <v>6.3795046806335503</v>
      </c>
      <c r="E179">
        <v>3.86</v>
      </c>
      <c r="F179" s="3">
        <f t="shared" si="6"/>
        <v>2.5195046806335504</v>
      </c>
      <c r="G179" s="3">
        <f t="shared" si="7"/>
        <v>6.3479038357343684</v>
      </c>
    </row>
    <row r="180" spans="1:7" x14ac:dyDescent="0.35">
      <c r="B180" s="12"/>
      <c r="C180" t="s">
        <v>24</v>
      </c>
      <c r="D180" s="6">
        <v>1.6122235059738199</v>
      </c>
      <c r="E180">
        <v>2.25</v>
      </c>
      <c r="F180" s="3">
        <f t="shared" si="6"/>
        <v>-0.63777649402618009</v>
      </c>
      <c r="G180" s="3">
        <f t="shared" si="7"/>
        <v>0.40675885633232611</v>
      </c>
    </row>
    <row r="181" spans="1:7" x14ac:dyDescent="0.35">
      <c r="A181" s="1"/>
      <c r="B181" s="12"/>
      <c r="C181" t="s">
        <v>25</v>
      </c>
      <c r="D181" s="6">
        <v>5.4548311233520499</v>
      </c>
      <c r="E181">
        <v>5.19</v>
      </c>
      <c r="F181" s="3">
        <f t="shared" si="6"/>
        <v>0.2648311233520495</v>
      </c>
      <c r="G181" s="3">
        <f t="shared" si="7"/>
        <v>7.0135523895908464E-2</v>
      </c>
    </row>
    <row r="182" spans="1:7" x14ac:dyDescent="0.35">
      <c r="B182" s="7" t="s">
        <v>42</v>
      </c>
      <c r="C182" t="s">
        <v>27</v>
      </c>
      <c r="D182" s="6">
        <v>9.2662305831909197</v>
      </c>
      <c r="E182">
        <v>7.98</v>
      </c>
      <c r="F182" s="3">
        <f t="shared" si="6"/>
        <v>1.2862305831909193</v>
      </c>
      <c r="G182" s="3">
        <f t="shared" si="7"/>
        <v>1.6543891131356525</v>
      </c>
    </row>
    <row r="183" spans="1:7" x14ac:dyDescent="0.35">
      <c r="B183" s="7"/>
      <c r="C183" t="s">
        <v>28</v>
      </c>
      <c r="D183" s="6">
        <v>3.68542551994324</v>
      </c>
      <c r="E183">
        <v>1.91</v>
      </c>
      <c r="F183" s="3">
        <f t="shared" si="6"/>
        <v>1.77542551994324</v>
      </c>
      <c r="G183" s="3">
        <f t="shared" si="7"/>
        <v>3.1521357768657241</v>
      </c>
    </row>
    <row r="184" spans="1:7" x14ac:dyDescent="0.35">
      <c r="A184">
        <v>14</v>
      </c>
      <c r="B184" s="7"/>
      <c r="C184" t="s">
        <v>29</v>
      </c>
      <c r="D184" s="6">
        <v>6.39343357086182</v>
      </c>
      <c r="E184">
        <v>5.25</v>
      </c>
      <c r="F184" s="3">
        <f t="shared" si="6"/>
        <v>1.14343357086182</v>
      </c>
      <c r="G184" s="3">
        <f t="shared" si="7"/>
        <v>1.3074403309738127</v>
      </c>
    </row>
    <row r="185" spans="1:7" x14ac:dyDescent="0.35">
      <c r="B185" s="7"/>
      <c r="C185" t="s">
        <v>30</v>
      </c>
      <c r="D185" s="6">
        <v>9.1767826080322301</v>
      </c>
      <c r="E185">
        <v>8.9499999999999993</v>
      </c>
      <c r="F185" s="3">
        <f t="shared" si="6"/>
        <v>0.22678260803223083</v>
      </c>
      <c r="G185" s="3">
        <f t="shared" si="7"/>
        <v>5.1430351305900443E-2</v>
      </c>
    </row>
    <row r="186" spans="1:7" x14ac:dyDescent="0.35">
      <c r="B186" s="7"/>
      <c r="C186" t="s">
        <v>11</v>
      </c>
      <c r="D186" s="6">
        <v>5.4484338760376003</v>
      </c>
      <c r="E186">
        <v>5.28</v>
      </c>
      <c r="F186" s="3">
        <f t="shared" si="6"/>
        <v>0.16843387603760007</v>
      </c>
      <c r="G186" s="3">
        <f t="shared" si="7"/>
        <v>2.8369970597049626E-2</v>
      </c>
    </row>
    <row r="187" spans="1:7" x14ac:dyDescent="0.35">
      <c r="B187" s="7"/>
      <c r="C187" t="s">
        <v>13</v>
      </c>
      <c r="D187" s="6">
        <v>6.5727596282959002</v>
      </c>
      <c r="E187">
        <v>6.31</v>
      </c>
      <c r="F187" s="3">
        <f t="shared" si="6"/>
        <v>0.2627596282959006</v>
      </c>
      <c r="G187" s="3">
        <f t="shared" si="7"/>
        <v>6.9042622262199843E-2</v>
      </c>
    </row>
    <row r="188" spans="1:7" x14ac:dyDescent="0.35">
      <c r="B188" s="7"/>
      <c r="C188" t="s">
        <v>14</v>
      </c>
      <c r="D188" s="6">
        <v>4.5751504898071298</v>
      </c>
      <c r="E188">
        <v>3.27</v>
      </c>
      <c r="F188" s="3">
        <f t="shared" si="6"/>
        <v>1.3051504898071298</v>
      </c>
      <c r="G188" s="3">
        <f t="shared" si="7"/>
        <v>1.7034178010437908</v>
      </c>
    </row>
    <row r="189" spans="1:7" x14ac:dyDescent="0.35">
      <c r="B189" s="7"/>
      <c r="C189" t="s">
        <v>16</v>
      </c>
      <c r="D189" s="6">
        <v>5.1694192886352504</v>
      </c>
      <c r="E189">
        <v>4.05</v>
      </c>
      <c r="F189" s="3">
        <f t="shared" si="6"/>
        <v>1.1194192886352505</v>
      </c>
      <c r="G189" s="3">
        <f t="shared" si="7"/>
        <v>1.2530995437686503</v>
      </c>
    </row>
    <row r="190" spans="1:7" x14ac:dyDescent="0.35">
      <c r="B190" s="7"/>
      <c r="C190" t="s">
        <v>17</v>
      </c>
      <c r="D190" s="6">
        <v>4.9298162460327202</v>
      </c>
      <c r="E190">
        <v>2.66</v>
      </c>
      <c r="F190" s="3">
        <f t="shared" si="6"/>
        <v>2.26981624603272</v>
      </c>
      <c r="G190" s="3">
        <f t="shared" si="7"/>
        <v>5.1520657907540697</v>
      </c>
    </row>
    <row r="191" spans="1:7" x14ac:dyDescent="0.35">
      <c r="B191" s="7"/>
      <c r="C191" t="s">
        <v>19</v>
      </c>
      <c r="D191" s="6">
        <v>5.7497696876525897</v>
      </c>
      <c r="E191">
        <v>5.07</v>
      </c>
      <c r="F191" s="3">
        <f t="shared" si="6"/>
        <v>0.67976968765258938</v>
      </c>
      <c r="G191" s="3">
        <f t="shared" si="7"/>
        <v>0.46208682825129893</v>
      </c>
    </row>
    <row r="192" spans="1:7" x14ac:dyDescent="0.35">
      <c r="B192" s="7"/>
      <c r="C192" t="s">
        <v>20</v>
      </c>
      <c r="D192" s="6">
        <v>5.1936402320861799</v>
      </c>
      <c r="E192">
        <v>3.37</v>
      </c>
      <c r="F192" s="3">
        <f t="shared" si="6"/>
        <v>1.8236402320861798</v>
      </c>
      <c r="G192" s="3">
        <f t="shared" si="7"/>
        <v>3.3256636960833355</v>
      </c>
    </row>
    <row r="193" spans="1:7" x14ac:dyDescent="0.35">
      <c r="B193" s="7"/>
      <c r="C193" t="s">
        <v>21</v>
      </c>
      <c r="D193" s="6">
        <v>5.1192474365234402</v>
      </c>
      <c r="E193">
        <v>3.81</v>
      </c>
      <c r="F193" s="3">
        <f t="shared" si="6"/>
        <v>1.3092474365234401</v>
      </c>
      <c r="G193" s="3">
        <f t="shared" si="7"/>
        <v>1.7141288500431993</v>
      </c>
    </row>
    <row r="194" spans="1:7" x14ac:dyDescent="0.35">
      <c r="B194" s="7"/>
      <c r="C194" t="s">
        <v>22</v>
      </c>
      <c r="D194" s="6">
        <v>4.9321317672729501</v>
      </c>
      <c r="E194">
        <v>4.16</v>
      </c>
      <c r="F194" s="3">
        <f t="shared" si="6"/>
        <v>0.77213176727294996</v>
      </c>
      <c r="G194" s="3">
        <f t="shared" si="7"/>
        <v>0.59618746603204897</v>
      </c>
    </row>
    <row r="195" spans="1:7" x14ac:dyDescent="0.35">
      <c r="B195" s="7"/>
      <c r="C195" t="s">
        <v>23</v>
      </c>
      <c r="D195" s="6">
        <v>6.3791599273681596</v>
      </c>
      <c r="E195">
        <v>4.4400000000000004</v>
      </c>
      <c r="F195" s="3">
        <f t="shared" ref="F195:F258" si="8">D195-E195</f>
        <v>1.9391599273681592</v>
      </c>
      <c r="G195" s="3">
        <f t="shared" ref="G195:G258" si="9">F195^2</f>
        <v>3.7603412239104848</v>
      </c>
    </row>
    <row r="196" spans="1:7" x14ac:dyDescent="0.35">
      <c r="B196" s="7"/>
      <c r="C196" t="s">
        <v>24</v>
      </c>
      <c r="D196" s="6">
        <v>5.0833597183227504</v>
      </c>
      <c r="E196">
        <v>2.88</v>
      </c>
      <c r="F196" s="3">
        <f t="shared" si="8"/>
        <v>2.2033597183227505</v>
      </c>
      <c r="G196" s="3">
        <f t="shared" si="9"/>
        <v>4.8547940483273102</v>
      </c>
    </row>
    <row r="197" spans="1:7" x14ac:dyDescent="0.35">
      <c r="A197" s="8"/>
      <c r="B197" s="9"/>
      <c r="C197" t="s">
        <v>25</v>
      </c>
      <c r="D197" s="6">
        <v>6.7741074562072798</v>
      </c>
      <c r="E197">
        <v>7.24</v>
      </c>
      <c r="F197" s="3">
        <f t="shared" si="8"/>
        <v>-0.46589254379272038</v>
      </c>
      <c r="G197" s="3">
        <f t="shared" si="9"/>
        <v>0.21705586236165189</v>
      </c>
    </row>
    <row r="198" spans="1:7" x14ac:dyDescent="0.35">
      <c r="A198" s="1"/>
      <c r="B198" s="14" t="s">
        <v>43</v>
      </c>
      <c r="C198" t="s">
        <v>27</v>
      </c>
      <c r="D198" s="6">
        <v>9.3495330810546893</v>
      </c>
      <c r="E198">
        <v>8.3600000000000012</v>
      </c>
      <c r="F198" s="3">
        <f t="shared" si="8"/>
        <v>0.98953308105468807</v>
      </c>
      <c r="G198" s="3">
        <f t="shared" si="9"/>
        <v>0.97917571850158391</v>
      </c>
    </row>
    <row r="199" spans="1:7" x14ac:dyDescent="0.35">
      <c r="A199" s="1"/>
      <c r="B199" s="14"/>
      <c r="C199" t="s">
        <v>28</v>
      </c>
      <c r="D199" s="6">
        <v>1.3462396860122701</v>
      </c>
      <c r="E199">
        <v>1.3299999999999998</v>
      </c>
      <c r="F199" s="3">
        <f t="shared" si="8"/>
        <v>1.6239686012270216E-2</v>
      </c>
      <c r="G199" s="3">
        <f t="shared" si="9"/>
        <v>2.6372740177712492E-4</v>
      </c>
    </row>
    <row r="200" spans="1:7" x14ac:dyDescent="0.35">
      <c r="A200" s="1"/>
      <c r="B200" s="14"/>
      <c r="C200" t="s">
        <v>29</v>
      </c>
      <c r="D200" s="6">
        <v>5.52766990661621</v>
      </c>
      <c r="E200">
        <v>4.7699999999999996</v>
      </c>
      <c r="F200" s="3">
        <f t="shared" si="8"/>
        <v>0.75766990661621048</v>
      </c>
      <c r="G200" s="3">
        <f t="shared" si="9"/>
        <v>0.57406368739181712</v>
      </c>
    </row>
    <row r="201" spans="1:7" x14ac:dyDescent="0.35">
      <c r="A201" s="1"/>
      <c r="B201" s="14"/>
      <c r="C201" t="s">
        <v>30</v>
      </c>
      <c r="D201" s="6">
        <v>9.2490892410278303</v>
      </c>
      <c r="E201">
        <v>7.56</v>
      </c>
      <c r="F201" s="3">
        <f t="shared" si="8"/>
        <v>1.6890892410278306</v>
      </c>
      <c r="G201" s="3">
        <f t="shared" si="9"/>
        <v>2.8530224641559729</v>
      </c>
    </row>
    <row r="202" spans="1:7" x14ac:dyDescent="0.35">
      <c r="A202" s="1"/>
      <c r="B202" s="14"/>
      <c r="C202" t="s">
        <v>11</v>
      </c>
      <c r="D202" s="6">
        <v>3.1025092601776101</v>
      </c>
      <c r="E202">
        <v>3.59</v>
      </c>
      <c r="F202" s="3">
        <f t="shared" si="8"/>
        <v>-0.48749073982238977</v>
      </c>
      <c r="G202" s="3">
        <f t="shared" si="9"/>
        <v>0.23764722141258091</v>
      </c>
    </row>
    <row r="203" spans="1:7" x14ac:dyDescent="0.35">
      <c r="A203" s="1"/>
      <c r="B203" s="14"/>
      <c r="C203" t="s">
        <v>13</v>
      </c>
      <c r="D203" s="6">
        <v>3.41788983345032</v>
      </c>
      <c r="E203">
        <v>3.5199999999999996</v>
      </c>
      <c r="F203" s="3">
        <f t="shared" si="8"/>
        <v>-0.10211016654967953</v>
      </c>
      <c r="G203" s="3">
        <f t="shared" si="9"/>
        <v>1.0426486112803291E-2</v>
      </c>
    </row>
    <row r="204" spans="1:7" x14ac:dyDescent="0.35">
      <c r="A204" s="1"/>
      <c r="B204" s="14"/>
      <c r="C204" t="s">
        <v>14</v>
      </c>
      <c r="D204" s="6">
        <v>2.0597894191741899</v>
      </c>
      <c r="E204">
        <v>2.8</v>
      </c>
      <c r="F204" s="3">
        <f t="shared" si="8"/>
        <v>-0.74021058082580993</v>
      </c>
      <c r="G204" s="3">
        <f t="shared" si="9"/>
        <v>0.54791170396648292</v>
      </c>
    </row>
    <row r="205" spans="1:7" x14ac:dyDescent="0.35">
      <c r="A205" s="1">
        <v>15</v>
      </c>
      <c r="B205" s="14"/>
      <c r="C205" t="s">
        <v>16</v>
      </c>
      <c r="D205" s="6">
        <v>3.6750211715698198</v>
      </c>
      <c r="E205">
        <v>3.5999999999999996</v>
      </c>
      <c r="F205" s="3">
        <f t="shared" si="8"/>
        <v>7.5021171569820133E-2</v>
      </c>
      <c r="G205" s="3">
        <f t="shared" si="9"/>
        <v>5.6281761837083883E-3</v>
      </c>
    </row>
    <row r="206" spans="1:7" x14ac:dyDescent="0.35">
      <c r="A206" s="1"/>
      <c r="B206" s="14"/>
      <c r="C206" t="s">
        <v>17</v>
      </c>
      <c r="D206" s="6">
        <v>1.7800418138503999</v>
      </c>
      <c r="E206">
        <v>2.17</v>
      </c>
      <c r="F206" s="3">
        <f t="shared" si="8"/>
        <v>-0.38995818614959998</v>
      </c>
      <c r="G206" s="3">
        <f t="shared" si="9"/>
        <v>0.15206738694508606</v>
      </c>
    </row>
    <row r="207" spans="1:7" x14ac:dyDescent="0.35">
      <c r="A207" s="1"/>
      <c r="B207" s="14"/>
      <c r="C207" t="s">
        <v>19</v>
      </c>
      <c r="D207" s="6">
        <v>1.6968082189559901</v>
      </c>
      <c r="E207">
        <v>2.67</v>
      </c>
      <c r="F207" s="3">
        <f t="shared" si="8"/>
        <v>-0.97319178104400983</v>
      </c>
      <c r="G207" s="3">
        <f t="shared" si="9"/>
        <v>0.94710224269161192</v>
      </c>
    </row>
    <row r="208" spans="1:7" x14ac:dyDescent="0.35">
      <c r="A208" s="1" t="s">
        <v>44</v>
      </c>
      <c r="B208" s="14"/>
      <c r="C208" t="s">
        <v>20</v>
      </c>
      <c r="D208" s="6">
        <v>2.7122390270233199</v>
      </c>
      <c r="E208">
        <v>3.13</v>
      </c>
      <c r="F208" s="3">
        <f t="shared" si="8"/>
        <v>-0.41776097297668002</v>
      </c>
      <c r="G208" s="3">
        <f t="shared" si="9"/>
        <v>0.17452423054242239</v>
      </c>
    </row>
    <row r="209" spans="1:7" x14ac:dyDescent="0.35">
      <c r="A209" s="1"/>
      <c r="B209" s="14"/>
      <c r="C209" t="s">
        <v>21</v>
      </c>
      <c r="D209" s="6">
        <v>2.6399791240692099</v>
      </c>
      <c r="E209">
        <v>3.2299999999999995</v>
      </c>
      <c r="F209" s="3">
        <f t="shared" si="8"/>
        <v>-0.59002087593078967</v>
      </c>
      <c r="G209" s="3">
        <f t="shared" si="9"/>
        <v>0.34812463403413629</v>
      </c>
    </row>
    <row r="210" spans="1:7" x14ac:dyDescent="0.35">
      <c r="A210" s="1"/>
      <c r="B210" s="14"/>
      <c r="C210" t="s">
        <v>22</v>
      </c>
      <c r="D210" s="6">
        <v>3.2767372131347701</v>
      </c>
      <c r="E210">
        <v>3.63</v>
      </c>
      <c r="F210" s="3">
        <f t="shared" si="8"/>
        <v>-0.35326278686522983</v>
      </c>
      <c r="G210" s="3">
        <f t="shared" si="9"/>
        <v>0.12479459658378879</v>
      </c>
    </row>
    <row r="211" spans="1:7" x14ac:dyDescent="0.35">
      <c r="A211" s="1"/>
      <c r="B211" s="14"/>
      <c r="C211" t="s">
        <v>23</v>
      </c>
      <c r="D211" s="6">
        <v>6.4936480522155797</v>
      </c>
      <c r="E211">
        <v>4.0599999999999996</v>
      </c>
      <c r="F211" s="3">
        <f t="shared" si="8"/>
        <v>2.4336480522155801</v>
      </c>
      <c r="G211" s="3">
        <f t="shared" si="9"/>
        <v>5.9226428420526869</v>
      </c>
    </row>
    <row r="212" spans="1:7" x14ac:dyDescent="0.35">
      <c r="A212" s="1"/>
      <c r="B212" s="14"/>
      <c r="C212" t="s">
        <v>24</v>
      </c>
      <c r="D212" s="6">
        <v>1.73391914367676</v>
      </c>
      <c r="E212">
        <v>2.2400000000000002</v>
      </c>
      <c r="F212" s="3">
        <f t="shared" si="8"/>
        <v>-0.50608085632324018</v>
      </c>
      <c r="G212" s="3">
        <f t="shared" si="9"/>
        <v>0.25611783313686409</v>
      </c>
    </row>
    <row r="213" spans="1:7" x14ac:dyDescent="0.35">
      <c r="A213" s="1"/>
      <c r="B213" s="14"/>
      <c r="C213" t="s">
        <v>25</v>
      </c>
      <c r="D213" s="6">
        <v>5.5769238471984899</v>
      </c>
      <c r="E213">
        <v>5.2399999999999993</v>
      </c>
      <c r="F213" s="3">
        <f t="shared" si="8"/>
        <v>0.33692384719849056</v>
      </c>
      <c r="G213" s="3">
        <f t="shared" si="9"/>
        <v>0.11351767881103181</v>
      </c>
    </row>
    <row r="214" spans="1:7" x14ac:dyDescent="0.35">
      <c r="B214" s="12" t="s">
        <v>45</v>
      </c>
      <c r="C214" t="s">
        <v>27</v>
      </c>
      <c r="D214" s="6">
        <v>12.4606580734253</v>
      </c>
      <c r="E214">
        <v>11.41</v>
      </c>
      <c r="F214" s="3">
        <f t="shared" si="8"/>
        <v>1.0506580734252999</v>
      </c>
      <c r="G214" s="3">
        <f t="shared" si="9"/>
        <v>1.1038823872537629</v>
      </c>
    </row>
    <row r="215" spans="1:7" x14ac:dyDescent="0.35">
      <c r="B215" s="12"/>
      <c r="C215" t="s">
        <v>29</v>
      </c>
      <c r="D215" s="6">
        <v>10.220248222351101</v>
      </c>
      <c r="E215">
        <v>6.85</v>
      </c>
      <c r="F215" s="3">
        <f t="shared" si="8"/>
        <v>3.3702482223511012</v>
      </c>
      <c r="G215" s="3">
        <f t="shared" si="9"/>
        <v>11.358573080260758</v>
      </c>
    </row>
    <row r="216" spans="1:7" x14ac:dyDescent="0.35">
      <c r="B216" s="12"/>
      <c r="C216" t="s">
        <v>30</v>
      </c>
      <c r="D216" s="6">
        <v>11.886334419250501</v>
      </c>
      <c r="E216">
        <v>10.579999999999998</v>
      </c>
      <c r="F216" s="3">
        <f t="shared" si="8"/>
        <v>1.3063344192505024</v>
      </c>
      <c r="G216" s="3">
        <f t="shared" si="9"/>
        <v>1.7065096149185475</v>
      </c>
    </row>
    <row r="217" spans="1:7" x14ac:dyDescent="0.35">
      <c r="B217" s="12"/>
      <c r="C217" t="s">
        <v>11</v>
      </c>
      <c r="D217" s="6">
        <v>8.5261201858520508</v>
      </c>
      <c r="E217">
        <v>5.26</v>
      </c>
      <c r="F217" s="3">
        <f t="shared" si="8"/>
        <v>3.266120185852051</v>
      </c>
      <c r="G217" s="3">
        <f t="shared" si="9"/>
        <v>10.667541068430236</v>
      </c>
    </row>
    <row r="218" spans="1:7" x14ac:dyDescent="0.35">
      <c r="B218" s="12"/>
      <c r="C218" t="s">
        <v>13</v>
      </c>
      <c r="D218" s="6">
        <v>10.026070594787599</v>
      </c>
      <c r="E218">
        <v>6.37</v>
      </c>
      <c r="F218" s="3">
        <f t="shared" si="8"/>
        <v>3.6560705947875993</v>
      </c>
      <c r="G218" s="3">
        <f t="shared" si="9"/>
        <v>13.36685219407055</v>
      </c>
    </row>
    <row r="219" spans="1:7" x14ac:dyDescent="0.35">
      <c r="B219" s="12"/>
      <c r="C219" t="s">
        <v>14</v>
      </c>
      <c r="D219" s="6">
        <v>7.6916785240173304</v>
      </c>
      <c r="E219">
        <v>2.79</v>
      </c>
      <c r="F219" s="3">
        <f t="shared" si="8"/>
        <v>4.9016785240173304</v>
      </c>
      <c r="G219" s="3">
        <f t="shared" si="9"/>
        <v>24.026452352812715</v>
      </c>
    </row>
    <row r="220" spans="1:7" x14ac:dyDescent="0.35">
      <c r="B220" s="12"/>
      <c r="C220" t="s">
        <v>16</v>
      </c>
      <c r="D220" s="6">
        <v>9.7127122879028303</v>
      </c>
      <c r="E220">
        <v>7.65</v>
      </c>
      <c r="F220" s="3">
        <f t="shared" si="8"/>
        <v>2.0627122879028299</v>
      </c>
      <c r="G220" s="3">
        <f t="shared" si="9"/>
        <v>4.2547819826653273</v>
      </c>
    </row>
    <row r="221" spans="1:7" x14ac:dyDescent="0.35">
      <c r="A221">
        <v>16</v>
      </c>
      <c r="B221" s="12"/>
      <c r="C221" t="s">
        <v>17</v>
      </c>
      <c r="D221" s="6">
        <v>7.6005153656005904</v>
      </c>
      <c r="E221">
        <v>2.25</v>
      </c>
      <c r="F221" s="3">
        <f t="shared" si="8"/>
        <v>5.3505153656005904</v>
      </c>
      <c r="G221" s="3">
        <f t="shared" si="9"/>
        <v>28.628014677528018</v>
      </c>
    </row>
    <row r="222" spans="1:7" x14ac:dyDescent="0.35">
      <c r="B222" s="12"/>
      <c r="C222" t="s">
        <v>19</v>
      </c>
      <c r="D222" s="6">
        <v>9.0180139541625994</v>
      </c>
      <c r="E222">
        <v>5.6</v>
      </c>
      <c r="F222" s="3">
        <f t="shared" si="8"/>
        <v>3.4180139541625998</v>
      </c>
      <c r="G222" s="3">
        <f t="shared" si="9"/>
        <v>11.68281939085025</v>
      </c>
    </row>
    <row r="223" spans="1:7" x14ac:dyDescent="0.35">
      <c r="B223" s="12"/>
      <c r="C223" t="s">
        <v>20</v>
      </c>
      <c r="D223" s="6">
        <v>8.3198385238647496</v>
      </c>
      <c r="E223">
        <v>7.13</v>
      </c>
      <c r="F223" s="3">
        <f t="shared" si="8"/>
        <v>1.1898385238647498</v>
      </c>
      <c r="G223" s="3">
        <f t="shared" si="9"/>
        <v>1.4157157128726467</v>
      </c>
    </row>
    <row r="224" spans="1:7" x14ac:dyDescent="0.35">
      <c r="B224" s="12"/>
      <c r="C224" t="s">
        <v>21</v>
      </c>
      <c r="D224" s="6">
        <v>8.4910736083984393</v>
      </c>
      <c r="E224">
        <v>3.88</v>
      </c>
      <c r="F224" s="3">
        <f t="shared" si="8"/>
        <v>4.6110736083984394</v>
      </c>
      <c r="G224" s="3">
        <f t="shared" si="9"/>
        <v>21.261999822068603</v>
      </c>
    </row>
    <row r="225" spans="1:7" x14ac:dyDescent="0.35">
      <c r="B225" s="12"/>
      <c r="C225" t="s">
        <v>22</v>
      </c>
      <c r="D225" s="6">
        <v>7.8765211105346697</v>
      </c>
      <c r="E225">
        <v>3.61</v>
      </c>
      <c r="F225" s="3">
        <f t="shared" si="8"/>
        <v>4.2665211105346703</v>
      </c>
      <c r="G225" s="3">
        <f t="shared" si="9"/>
        <v>18.203202386637997</v>
      </c>
    </row>
    <row r="226" spans="1:7" x14ac:dyDescent="0.35">
      <c r="B226" s="12"/>
      <c r="C226" t="s">
        <v>23</v>
      </c>
      <c r="D226" s="6">
        <v>9.14300537109375</v>
      </c>
      <c r="E226">
        <v>6.56</v>
      </c>
      <c r="F226" s="3">
        <f t="shared" si="8"/>
        <v>2.5830053710937504</v>
      </c>
      <c r="G226" s="3">
        <f t="shared" si="9"/>
        <v>6.6719167470991634</v>
      </c>
    </row>
    <row r="227" spans="1:7" x14ac:dyDescent="0.35">
      <c r="B227" s="12"/>
      <c r="C227" t="s">
        <v>24</v>
      </c>
      <c r="D227" s="6">
        <v>8.0999031066894496</v>
      </c>
      <c r="E227">
        <v>3.48</v>
      </c>
      <c r="F227" s="3">
        <f t="shared" si="8"/>
        <v>4.6199031066894491</v>
      </c>
      <c r="G227" s="3">
        <f t="shared" si="9"/>
        <v>21.343504715198822</v>
      </c>
    </row>
    <row r="228" spans="1:7" x14ac:dyDescent="0.35">
      <c r="A228" s="1"/>
      <c r="B228" s="12"/>
      <c r="C228" t="s">
        <v>25</v>
      </c>
      <c r="D228" s="6">
        <v>10.078198432922401</v>
      </c>
      <c r="E228">
        <v>8.1900000000000013</v>
      </c>
      <c r="F228" s="3">
        <f t="shared" si="8"/>
        <v>1.8881984329223993</v>
      </c>
      <c r="G228" s="3">
        <f t="shared" si="9"/>
        <v>3.5652933220906045</v>
      </c>
    </row>
    <row r="229" spans="1:7" x14ac:dyDescent="0.35">
      <c r="B229" s="12" t="s">
        <v>46</v>
      </c>
      <c r="C229" t="s">
        <v>27</v>
      </c>
      <c r="D229" s="6">
        <v>12.7775478363037</v>
      </c>
      <c r="E229">
        <v>12.08</v>
      </c>
      <c r="F229" s="3">
        <f t="shared" si="8"/>
        <v>0.69754783630370021</v>
      </c>
      <c r="G229" s="3">
        <f t="shared" si="9"/>
        <v>0.48657298393197373</v>
      </c>
    </row>
    <row r="230" spans="1:7" x14ac:dyDescent="0.35">
      <c r="B230" s="12"/>
      <c r="C230" t="s">
        <v>28</v>
      </c>
      <c r="D230" s="6">
        <v>1.3738472461700399</v>
      </c>
      <c r="E230">
        <v>1.51</v>
      </c>
      <c r="F230" s="3">
        <f t="shared" si="8"/>
        <v>-0.13615275382996006</v>
      </c>
      <c r="G230" s="3">
        <f t="shared" si="9"/>
        <v>1.8537572375481703E-2</v>
      </c>
    </row>
    <row r="231" spans="1:7" x14ac:dyDescent="0.35">
      <c r="B231" s="12"/>
      <c r="C231" t="s">
        <v>29</v>
      </c>
      <c r="D231" s="6">
        <v>7.5141615867614799</v>
      </c>
      <c r="E231">
        <v>5.8999999999999995</v>
      </c>
      <c r="F231" s="3">
        <f t="shared" si="8"/>
        <v>1.6141615867614805</v>
      </c>
      <c r="G231" s="3">
        <f t="shared" si="9"/>
        <v>2.6055176281763406</v>
      </c>
    </row>
    <row r="232" spans="1:7" x14ac:dyDescent="0.35">
      <c r="B232" s="12"/>
      <c r="C232" t="s">
        <v>30</v>
      </c>
      <c r="D232" s="6">
        <v>12.1582746505737</v>
      </c>
      <c r="E232">
        <v>9.48</v>
      </c>
      <c r="F232" s="3">
        <f t="shared" si="8"/>
        <v>2.6782746505736998</v>
      </c>
      <c r="G232" s="3">
        <f t="shared" si="9"/>
        <v>7.1731551039056738</v>
      </c>
    </row>
    <row r="233" spans="1:7" x14ac:dyDescent="0.35">
      <c r="B233" s="12"/>
      <c r="C233" t="s">
        <v>11</v>
      </c>
      <c r="D233" s="6">
        <v>4.5187416076660201</v>
      </c>
      <c r="E233">
        <v>4.55</v>
      </c>
      <c r="F233" s="3">
        <f t="shared" si="8"/>
        <v>-3.1258392333979756E-2</v>
      </c>
      <c r="G233" s="3">
        <f t="shared" si="9"/>
        <v>9.7708709130500432E-4</v>
      </c>
    </row>
    <row r="234" spans="1:7" x14ac:dyDescent="0.35">
      <c r="B234" s="12"/>
      <c r="C234" t="s">
        <v>13</v>
      </c>
      <c r="D234" s="6">
        <v>4.8860750198364302</v>
      </c>
      <c r="E234">
        <v>4.41</v>
      </c>
      <c r="F234" s="3">
        <f t="shared" si="8"/>
        <v>0.47607501983643008</v>
      </c>
      <c r="G234" s="3">
        <f t="shared" si="9"/>
        <v>0.22664742451225731</v>
      </c>
    </row>
    <row r="235" spans="1:7" x14ac:dyDescent="0.35">
      <c r="B235" s="12"/>
      <c r="C235" t="s">
        <v>14</v>
      </c>
      <c r="D235" s="6">
        <v>2.1116135120391801</v>
      </c>
      <c r="E235">
        <v>3</v>
      </c>
      <c r="F235" s="3">
        <f t="shared" si="8"/>
        <v>-0.88838648796081987</v>
      </c>
      <c r="G235" s="3">
        <f t="shared" si="9"/>
        <v>0.78923055199135994</v>
      </c>
    </row>
    <row r="236" spans="1:7" x14ac:dyDescent="0.35">
      <c r="B236" s="12"/>
      <c r="C236" t="s">
        <v>16</v>
      </c>
      <c r="D236" s="6">
        <v>5.5770568847656303</v>
      </c>
      <c r="E236">
        <v>5.3199999999999994</v>
      </c>
      <c r="F236" s="3">
        <f t="shared" si="8"/>
        <v>0.25705688476563093</v>
      </c>
      <c r="G236" s="3">
        <f t="shared" si="9"/>
        <v>6.6078242005410862E-2</v>
      </c>
    </row>
    <row r="237" spans="1:7" x14ac:dyDescent="0.35">
      <c r="A237">
        <v>17</v>
      </c>
      <c r="B237" s="12"/>
      <c r="C237" t="s">
        <v>17</v>
      </c>
      <c r="D237" s="6">
        <v>1.8080533742904701</v>
      </c>
      <c r="E237">
        <v>2.2400000000000002</v>
      </c>
      <c r="F237" s="3">
        <f t="shared" si="8"/>
        <v>-0.43194662570953013</v>
      </c>
      <c r="G237" s="3">
        <f t="shared" si="9"/>
        <v>0.18657788746184892</v>
      </c>
    </row>
    <row r="238" spans="1:7" x14ac:dyDescent="0.35">
      <c r="B238" s="12"/>
      <c r="C238" t="s">
        <v>19</v>
      </c>
      <c r="D238" s="6">
        <v>2.3154628276825</v>
      </c>
      <c r="E238">
        <v>3.2399999999999993</v>
      </c>
      <c r="F238" s="3">
        <f t="shared" si="8"/>
        <v>-0.92453717231749932</v>
      </c>
      <c r="G238" s="3">
        <f t="shared" si="9"/>
        <v>0.85476898299683746</v>
      </c>
    </row>
    <row r="239" spans="1:7" x14ac:dyDescent="0.35">
      <c r="B239" s="12"/>
      <c r="C239" t="s">
        <v>20</v>
      </c>
      <c r="D239" s="6">
        <v>3.5651500225067099</v>
      </c>
      <c r="E239">
        <v>3.58</v>
      </c>
      <c r="F239" s="3">
        <f t="shared" si="8"/>
        <v>-1.4849977493290201E-2</v>
      </c>
      <c r="G239" s="3">
        <f t="shared" si="9"/>
        <v>2.205218315512255E-4</v>
      </c>
    </row>
    <row r="240" spans="1:7" x14ac:dyDescent="0.35">
      <c r="B240" s="12"/>
      <c r="C240" t="s">
        <v>22</v>
      </c>
      <c r="D240" s="6">
        <v>3.4100883007049601</v>
      </c>
      <c r="E240">
        <v>3.7199999999999998</v>
      </c>
      <c r="F240" s="3">
        <f t="shared" si="8"/>
        <v>-0.3099116992950397</v>
      </c>
      <c r="G240" s="3">
        <f t="shared" si="9"/>
        <v>9.6045261359939113E-2</v>
      </c>
    </row>
    <row r="241" spans="1:7" x14ac:dyDescent="0.35">
      <c r="B241" s="12"/>
      <c r="C241" t="s">
        <v>23</v>
      </c>
      <c r="D241" s="6">
        <v>9.48724460601807</v>
      </c>
      <c r="E241">
        <v>6.72</v>
      </c>
      <c r="F241" s="3">
        <f t="shared" si="8"/>
        <v>2.7672446060180702</v>
      </c>
      <c r="G241" s="3">
        <f t="shared" si="9"/>
        <v>7.6576427095361046</v>
      </c>
    </row>
    <row r="242" spans="1:7" x14ac:dyDescent="0.35">
      <c r="B242" s="12"/>
      <c r="C242" t="s">
        <v>24</v>
      </c>
      <c r="D242" s="6">
        <v>1.9118264913559</v>
      </c>
      <c r="E242">
        <v>2.6100000000000003</v>
      </c>
      <c r="F242" s="3">
        <f t="shared" si="8"/>
        <v>-0.69817350864410033</v>
      </c>
      <c r="G242" s="3">
        <f t="shared" si="9"/>
        <v>0.48744624817241361</v>
      </c>
    </row>
    <row r="243" spans="1:7" x14ac:dyDescent="0.35">
      <c r="A243" s="1"/>
      <c r="B243" s="12"/>
      <c r="C243" t="s">
        <v>25</v>
      </c>
      <c r="D243" s="6">
        <v>8.0270557403564506</v>
      </c>
      <c r="E243">
        <v>5.68</v>
      </c>
      <c r="F243" s="3">
        <f t="shared" si="8"/>
        <v>2.3470557403564509</v>
      </c>
      <c r="G243" s="3">
        <f t="shared" si="9"/>
        <v>5.5086706483401677</v>
      </c>
    </row>
    <row r="244" spans="1:7" x14ac:dyDescent="0.35">
      <c r="B244" s="12" t="s">
        <v>47</v>
      </c>
      <c r="C244" t="s">
        <v>27</v>
      </c>
      <c r="D244" s="6">
        <v>17.3054084777832</v>
      </c>
      <c r="E244">
        <v>16.61</v>
      </c>
      <c r="F244" s="3">
        <f t="shared" si="8"/>
        <v>0.69540847778320014</v>
      </c>
      <c r="G244" s="3">
        <f t="shared" si="9"/>
        <v>0.48359295097274757</v>
      </c>
    </row>
    <row r="245" spans="1:7" x14ac:dyDescent="0.35">
      <c r="B245" s="12"/>
      <c r="C245" t="s">
        <v>28</v>
      </c>
      <c r="D245" s="6">
        <v>10.230510711669901</v>
      </c>
      <c r="E245">
        <v>6.7</v>
      </c>
      <c r="F245" s="3">
        <f t="shared" si="8"/>
        <v>3.5305107116699004</v>
      </c>
      <c r="G245" s="3">
        <f t="shared" si="9"/>
        <v>12.464505885215907</v>
      </c>
    </row>
    <row r="246" spans="1:7" x14ac:dyDescent="0.35">
      <c r="B246" s="12"/>
      <c r="C246" t="s">
        <v>29</v>
      </c>
      <c r="D246" s="6">
        <v>15.149151802063001</v>
      </c>
      <c r="E246">
        <v>14.15</v>
      </c>
      <c r="F246" s="3">
        <f t="shared" si="8"/>
        <v>0.99915180206300036</v>
      </c>
      <c r="G246" s="3">
        <f t="shared" si="9"/>
        <v>0.99830432356574106</v>
      </c>
    </row>
    <row r="247" spans="1:7" x14ac:dyDescent="0.35">
      <c r="B247" s="12"/>
      <c r="C247" t="s">
        <v>11</v>
      </c>
      <c r="D247" s="6">
        <v>12.7478532791138</v>
      </c>
      <c r="E247">
        <v>12.58</v>
      </c>
      <c r="F247" s="3">
        <f t="shared" si="8"/>
        <v>0.16785327911379966</v>
      </c>
      <c r="G247" s="3">
        <f t="shared" si="9"/>
        <v>2.8174723309255134E-2</v>
      </c>
    </row>
    <row r="248" spans="1:7" x14ac:dyDescent="0.35">
      <c r="B248" s="12"/>
      <c r="C248" t="s">
        <v>13</v>
      </c>
      <c r="D248" s="6">
        <v>14.1496467590332</v>
      </c>
      <c r="E248">
        <v>11.79</v>
      </c>
      <c r="F248" s="3">
        <f t="shared" si="8"/>
        <v>2.3596467590332004</v>
      </c>
      <c r="G248" s="3">
        <f t="shared" si="9"/>
        <v>5.5679328274158868</v>
      </c>
    </row>
    <row r="249" spans="1:7" x14ac:dyDescent="0.35">
      <c r="B249" s="12"/>
      <c r="C249" t="s">
        <v>14</v>
      </c>
      <c r="D249" s="6">
        <v>10.3044652938843</v>
      </c>
      <c r="E249">
        <v>6.94</v>
      </c>
      <c r="F249" s="3">
        <f t="shared" si="8"/>
        <v>3.3644652938843</v>
      </c>
      <c r="G249" s="3">
        <f t="shared" si="9"/>
        <v>11.319626713751969</v>
      </c>
    </row>
    <row r="250" spans="1:7" x14ac:dyDescent="0.35">
      <c r="B250" s="12"/>
      <c r="C250" t="s">
        <v>16</v>
      </c>
      <c r="D250" s="6">
        <v>14.760377883911101</v>
      </c>
      <c r="E250">
        <v>16.5</v>
      </c>
      <c r="F250" s="3">
        <f t="shared" si="8"/>
        <v>-1.7396221160888992</v>
      </c>
      <c r="G250" s="3">
        <f t="shared" si="9"/>
        <v>3.0262851067856196</v>
      </c>
    </row>
    <row r="251" spans="1:7" x14ac:dyDescent="0.35">
      <c r="A251">
        <v>18</v>
      </c>
      <c r="B251" s="12"/>
      <c r="C251" t="s">
        <v>17</v>
      </c>
      <c r="D251" s="6">
        <v>10.003471374511699</v>
      </c>
      <c r="E251">
        <v>6.89</v>
      </c>
      <c r="F251" s="3">
        <f t="shared" si="8"/>
        <v>3.1134713745116995</v>
      </c>
      <c r="G251" s="3">
        <f t="shared" si="9"/>
        <v>9.6937039999037715</v>
      </c>
    </row>
    <row r="252" spans="1:7" x14ac:dyDescent="0.35">
      <c r="B252" s="12"/>
      <c r="C252" t="s">
        <v>19</v>
      </c>
      <c r="D252" s="6">
        <v>11.4971218109131</v>
      </c>
      <c r="E252">
        <v>9.36</v>
      </c>
      <c r="F252" s="3">
        <f t="shared" si="8"/>
        <v>2.1371218109131007</v>
      </c>
      <c r="G252" s="3">
        <f t="shared" si="9"/>
        <v>4.567289634680491</v>
      </c>
    </row>
    <row r="253" spans="1:7" x14ac:dyDescent="0.35">
      <c r="B253" s="12"/>
      <c r="C253" t="s">
        <v>20</v>
      </c>
      <c r="D253" s="6">
        <v>12.2976484298706</v>
      </c>
      <c r="E253">
        <v>12.03</v>
      </c>
      <c r="F253" s="3">
        <f t="shared" si="8"/>
        <v>0.26764842987060078</v>
      </c>
      <c r="G253" s="3">
        <f t="shared" si="9"/>
        <v>7.1635682012197902E-2</v>
      </c>
    </row>
    <row r="254" spans="1:7" x14ac:dyDescent="0.35">
      <c r="B254" s="12"/>
      <c r="C254" t="s">
        <v>21</v>
      </c>
      <c r="D254" s="6">
        <v>12.389152526855501</v>
      </c>
      <c r="E254">
        <v>10.81</v>
      </c>
      <c r="F254" s="3">
        <f t="shared" si="8"/>
        <v>1.5791525268555002</v>
      </c>
      <c r="G254" s="3">
        <f t="shared" si="9"/>
        <v>2.4937227030741114</v>
      </c>
    </row>
    <row r="255" spans="1:7" x14ac:dyDescent="0.35">
      <c r="B255" s="12"/>
      <c r="C255" t="s">
        <v>22</v>
      </c>
      <c r="D255" s="6">
        <v>11.2758598327637</v>
      </c>
      <c r="E255">
        <v>7.1</v>
      </c>
      <c r="F255" s="3">
        <f t="shared" si="8"/>
        <v>4.1758598327637007</v>
      </c>
      <c r="G255" s="3">
        <f t="shared" si="9"/>
        <v>17.437805342889281</v>
      </c>
    </row>
    <row r="256" spans="1:7" x14ac:dyDescent="0.35">
      <c r="B256" s="12"/>
      <c r="C256" t="s">
        <v>23</v>
      </c>
      <c r="D256" s="6">
        <v>15.2803955078125</v>
      </c>
      <c r="E256">
        <v>18.829999999999998</v>
      </c>
      <c r="F256" s="3">
        <f t="shared" si="8"/>
        <v>-3.5496044921874983</v>
      </c>
      <c r="G256" s="3">
        <f t="shared" si="9"/>
        <v>12.599692050957668</v>
      </c>
    </row>
    <row r="257" spans="1:7" x14ac:dyDescent="0.35">
      <c r="B257" s="12"/>
      <c r="C257" t="s">
        <v>24</v>
      </c>
      <c r="D257" s="6">
        <v>10.8453168869019</v>
      </c>
      <c r="E257">
        <v>10.7</v>
      </c>
      <c r="F257" s="3">
        <f t="shared" si="8"/>
        <v>0.14531688690190059</v>
      </c>
      <c r="G257" s="3">
        <f t="shared" si="9"/>
        <v>2.1116997618859767E-2</v>
      </c>
    </row>
    <row r="258" spans="1:7" x14ac:dyDescent="0.35">
      <c r="A258" s="1"/>
      <c r="B258" s="12"/>
      <c r="C258" t="s">
        <v>25</v>
      </c>
      <c r="D258" s="6">
        <v>12.170327186584499</v>
      </c>
      <c r="E258">
        <v>12.03</v>
      </c>
      <c r="F258" s="3">
        <f t="shared" si="8"/>
        <v>0.14032718658449994</v>
      </c>
      <c r="G258" s="3">
        <f t="shared" si="9"/>
        <v>1.969171929472106E-2</v>
      </c>
    </row>
    <row r="259" spans="1:7" x14ac:dyDescent="0.35">
      <c r="B259" s="12" t="s">
        <v>48</v>
      </c>
      <c r="C259" t="s">
        <v>27</v>
      </c>
      <c r="D259" s="6">
        <v>27.449680328369102</v>
      </c>
      <c r="E259">
        <v>23.93</v>
      </c>
      <c r="F259" s="3">
        <f t="shared" ref="F259:F322" si="10">D259-E259</f>
        <v>3.5196803283691018</v>
      </c>
      <c r="G259" s="3">
        <f t="shared" ref="G259:G322" si="11">F259^2</f>
        <v>12.388149613908428</v>
      </c>
    </row>
    <row r="260" spans="1:7" x14ac:dyDescent="0.35">
      <c r="B260" s="12"/>
      <c r="C260" t="s">
        <v>28</v>
      </c>
      <c r="D260" s="6">
        <v>19.193195343017599</v>
      </c>
      <c r="E260">
        <v>17.399999999999999</v>
      </c>
      <c r="F260" s="3">
        <f t="shared" si="10"/>
        <v>1.7931953430176009</v>
      </c>
      <c r="G260" s="3">
        <f t="shared" si="11"/>
        <v>3.2155495382200114</v>
      </c>
    </row>
    <row r="261" spans="1:7" x14ac:dyDescent="0.35">
      <c r="B261" s="12"/>
      <c r="C261" t="s">
        <v>29</v>
      </c>
      <c r="D261" s="6">
        <v>25.0657043457031</v>
      </c>
      <c r="E261">
        <v>22.44</v>
      </c>
      <c r="F261" s="3">
        <f t="shared" si="10"/>
        <v>2.6257043457030989</v>
      </c>
      <c r="G261" s="3">
        <f t="shared" si="11"/>
        <v>6.8943233110441389</v>
      </c>
    </row>
    <row r="262" spans="1:7" x14ac:dyDescent="0.35">
      <c r="B262" s="12"/>
      <c r="C262" t="s">
        <v>30</v>
      </c>
      <c r="D262" s="6">
        <v>28.2618007659912</v>
      </c>
      <c r="E262">
        <v>23.91</v>
      </c>
      <c r="F262" s="3">
        <f t="shared" si="10"/>
        <v>4.3518007659912001</v>
      </c>
      <c r="G262" s="3">
        <f t="shared" si="11"/>
        <v>18.938169906881598</v>
      </c>
    </row>
    <row r="263" spans="1:7" x14ac:dyDescent="0.35">
      <c r="B263" s="12"/>
      <c r="C263" t="s">
        <v>11</v>
      </c>
      <c r="D263" s="6">
        <v>22.960983276367202</v>
      </c>
      <c r="E263">
        <v>23.11</v>
      </c>
      <c r="F263" s="3">
        <f t="shared" si="10"/>
        <v>-0.14901672363279772</v>
      </c>
      <c r="G263" s="3">
        <f t="shared" si="11"/>
        <v>2.2205983922253616E-2</v>
      </c>
    </row>
    <row r="264" spans="1:7" x14ac:dyDescent="0.35">
      <c r="B264" s="12"/>
      <c r="C264" t="s">
        <v>13</v>
      </c>
      <c r="D264" s="6">
        <v>22.913082122802699</v>
      </c>
      <c r="E264">
        <v>18.43</v>
      </c>
      <c r="F264" s="3">
        <f t="shared" si="10"/>
        <v>4.4830821228026991</v>
      </c>
      <c r="G264" s="3">
        <f t="shared" si="11"/>
        <v>20.098025319793155</v>
      </c>
    </row>
    <row r="265" spans="1:7" x14ac:dyDescent="0.35">
      <c r="B265" s="12"/>
      <c r="C265" t="s">
        <v>14</v>
      </c>
      <c r="D265" s="6">
        <v>20.255271911621101</v>
      </c>
      <c r="E265">
        <v>15.95</v>
      </c>
      <c r="F265" s="3">
        <f t="shared" si="10"/>
        <v>4.3052719116211016</v>
      </c>
      <c r="G265" s="3">
        <f t="shared" si="11"/>
        <v>18.535366232993614</v>
      </c>
    </row>
    <row r="266" spans="1:7" x14ac:dyDescent="0.35">
      <c r="A266">
        <v>19</v>
      </c>
      <c r="B266" s="12"/>
      <c r="C266" t="s">
        <v>17</v>
      </c>
      <c r="D266" s="6">
        <v>19.330123901367202</v>
      </c>
      <c r="E266">
        <v>16.18</v>
      </c>
      <c r="F266" s="3">
        <f t="shared" si="10"/>
        <v>3.150123901367202</v>
      </c>
      <c r="G266" s="3">
        <f t="shared" si="11"/>
        <v>9.9232805939649218</v>
      </c>
    </row>
    <row r="267" spans="1:7" x14ac:dyDescent="0.35">
      <c r="B267" s="12"/>
      <c r="C267" t="s">
        <v>19</v>
      </c>
      <c r="D267" s="6">
        <v>20.101802825927699</v>
      </c>
      <c r="E267">
        <v>16.97</v>
      </c>
      <c r="F267" s="3">
        <f t="shared" si="10"/>
        <v>3.1318028259277</v>
      </c>
      <c r="G267" s="3">
        <f t="shared" si="11"/>
        <v>9.8081889404887281</v>
      </c>
    </row>
    <row r="268" spans="1:7" x14ac:dyDescent="0.35">
      <c r="B268" s="12"/>
      <c r="C268" t="s">
        <v>20</v>
      </c>
      <c r="D268" s="6">
        <v>22.031641006469702</v>
      </c>
      <c r="E268">
        <v>18.489999999999998</v>
      </c>
      <c r="F268" s="3">
        <f t="shared" si="10"/>
        <v>3.5416410064697033</v>
      </c>
      <c r="G268" s="3">
        <f t="shared" si="11"/>
        <v>12.543221018707733</v>
      </c>
    </row>
    <row r="269" spans="1:7" x14ac:dyDescent="0.35">
      <c r="B269" s="12"/>
      <c r="C269" t="s">
        <v>21</v>
      </c>
      <c r="D269" s="6">
        <v>22.206932067871101</v>
      </c>
      <c r="E269">
        <v>18.760000000000002</v>
      </c>
      <c r="F269" s="3">
        <f t="shared" si="10"/>
        <v>3.4469320678710993</v>
      </c>
      <c r="G269" s="3">
        <f t="shared" si="11"/>
        <v>11.881340680518132</v>
      </c>
    </row>
    <row r="270" spans="1:7" x14ac:dyDescent="0.35">
      <c r="B270" s="12"/>
      <c r="C270" t="s">
        <v>22</v>
      </c>
      <c r="D270" s="6">
        <v>20.707105636596701</v>
      </c>
      <c r="E270">
        <v>16.899999999999999</v>
      </c>
      <c r="F270" s="3">
        <f t="shared" si="10"/>
        <v>3.8071056365967024</v>
      </c>
      <c r="G270" s="3">
        <f t="shared" si="11"/>
        <v>14.494053328206382</v>
      </c>
    </row>
    <row r="271" spans="1:7" x14ac:dyDescent="0.35">
      <c r="B271" s="12"/>
      <c r="C271" t="s">
        <v>23</v>
      </c>
      <c r="D271" s="6">
        <v>27.795467376708999</v>
      </c>
      <c r="E271">
        <v>27.5</v>
      </c>
      <c r="F271" s="3">
        <f t="shared" si="10"/>
        <v>0.29546737670899859</v>
      </c>
      <c r="G271" s="3">
        <f t="shared" si="11"/>
        <v>8.7300970699297278E-2</v>
      </c>
    </row>
    <row r="272" spans="1:7" x14ac:dyDescent="0.35">
      <c r="B272" s="12"/>
      <c r="C272" t="s">
        <v>24</v>
      </c>
      <c r="D272" s="6">
        <v>20.6470947265625</v>
      </c>
      <c r="E272">
        <v>19.760000000000002</v>
      </c>
      <c r="F272" s="3">
        <f t="shared" si="10"/>
        <v>0.88709472656249844</v>
      </c>
      <c r="G272" s="3">
        <f t="shared" si="11"/>
        <v>0.78693705389499391</v>
      </c>
    </row>
    <row r="273" spans="1:7" x14ac:dyDescent="0.35">
      <c r="A273" s="1"/>
      <c r="B273" s="12"/>
      <c r="C273" t="s">
        <v>25</v>
      </c>
      <c r="D273" s="6">
        <v>21.897832870483398</v>
      </c>
      <c r="E273">
        <v>18.41</v>
      </c>
      <c r="F273" s="3">
        <f t="shared" si="10"/>
        <v>3.4878328704833983</v>
      </c>
      <c r="G273" s="3">
        <f t="shared" si="11"/>
        <v>12.164978132424462</v>
      </c>
    </row>
    <row r="274" spans="1:7" x14ac:dyDescent="0.35">
      <c r="B274" s="12" t="s">
        <v>49</v>
      </c>
      <c r="C274" t="s">
        <v>16</v>
      </c>
      <c r="D274" s="6">
        <v>8.9884366989135707</v>
      </c>
      <c r="E274">
        <v>11.28</v>
      </c>
      <c r="F274" s="3">
        <f t="shared" si="10"/>
        <v>-2.2915633010864287</v>
      </c>
      <c r="G274" s="3">
        <f t="shared" si="11"/>
        <v>5.2512623628861306</v>
      </c>
    </row>
    <row r="275" spans="1:7" x14ac:dyDescent="0.35">
      <c r="A275">
        <v>20</v>
      </c>
      <c r="B275" s="12"/>
      <c r="C275" t="s">
        <v>17</v>
      </c>
      <c r="D275" s="6">
        <v>1.81040298938751</v>
      </c>
      <c r="E275">
        <v>2.36</v>
      </c>
      <c r="F275" s="3">
        <f t="shared" si="10"/>
        <v>-0.54959701061248989</v>
      </c>
      <c r="G275" s="3">
        <f t="shared" si="11"/>
        <v>0.3020568740741853</v>
      </c>
    </row>
    <row r="276" spans="1:7" x14ac:dyDescent="0.35">
      <c r="B276" s="12"/>
      <c r="C276" t="s">
        <v>19</v>
      </c>
      <c r="D276" s="6">
        <v>4.1638946533203098</v>
      </c>
      <c r="E276">
        <v>5.27</v>
      </c>
      <c r="F276" s="3">
        <f t="shared" si="10"/>
        <v>-1.1061053466796897</v>
      </c>
      <c r="G276" s="3">
        <f t="shared" si="11"/>
        <v>1.2234690379533966</v>
      </c>
    </row>
    <row r="277" spans="1:7" x14ac:dyDescent="0.35">
      <c r="B277" s="12"/>
      <c r="C277" t="s">
        <v>20</v>
      </c>
      <c r="D277" s="6">
        <v>5.35428667068481</v>
      </c>
      <c r="E277">
        <v>6.35</v>
      </c>
      <c r="F277" s="3">
        <f t="shared" si="10"/>
        <v>-0.99571332931518963</v>
      </c>
      <c r="G277" s="3">
        <f t="shared" si="11"/>
        <v>0.99144503417593932</v>
      </c>
    </row>
    <row r="278" spans="1:7" x14ac:dyDescent="0.35">
      <c r="B278" s="12"/>
      <c r="C278" t="s">
        <v>21</v>
      </c>
      <c r="D278" s="6">
        <v>5.6536121368408203</v>
      </c>
      <c r="E278">
        <v>5.67</v>
      </c>
      <c r="F278" s="3">
        <f t="shared" si="10"/>
        <v>-1.6387863159179616E-2</v>
      </c>
      <c r="G278" s="3">
        <f t="shared" si="11"/>
        <v>2.6856205892399651E-4</v>
      </c>
    </row>
    <row r="279" spans="1:7" x14ac:dyDescent="0.35">
      <c r="B279" s="12"/>
      <c r="C279" t="s">
        <v>22</v>
      </c>
      <c r="D279" s="6">
        <v>4.19998979568481</v>
      </c>
      <c r="E279">
        <v>4.1100000000000003</v>
      </c>
      <c r="F279" s="3">
        <f t="shared" si="10"/>
        <v>8.9989795684809692E-2</v>
      </c>
      <c r="G279" s="3">
        <f t="shared" si="11"/>
        <v>8.0981633273937929E-3</v>
      </c>
    </row>
    <row r="280" spans="1:7" x14ac:dyDescent="0.35">
      <c r="B280" s="12"/>
      <c r="C280" t="s">
        <v>23</v>
      </c>
      <c r="D280" s="6">
        <v>9.2791013717651403</v>
      </c>
      <c r="E280">
        <v>11.27</v>
      </c>
      <c r="F280" s="3">
        <f t="shared" si="10"/>
        <v>-1.9908986282348593</v>
      </c>
      <c r="G280" s="3">
        <f t="shared" si="11"/>
        <v>3.9636773479074443</v>
      </c>
    </row>
    <row r="281" spans="1:7" x14ac:dyDescent="0.35">
      <c r="B281" s="12"/>
      <c r="C281" t="s">
        <v>24</v>
      </c>
      <c r="D281" s="6">
        <v>2.52888154983521</v>
      </c>
      <c r="E281">
        <v>4.18</v>
      </c>
      <c r="F281" s="3">
        <f t="shared" si="10"/>
        <v>-1.6511184501647898</v>
      </c>
      <c r="G281" s="3">
        <f t="shared" si="11"/>
        <v>2.7261921364745771</v>
      </c>
    </row>
    <row r="282" spans="1:7" x14ac:dyDescent="0.35">
      <c r="A282" s="1"/>
      <c r="B282" s="12"/>
      <c r="C282" t="s">
        <v>25</v>
      </c>
      <c r="D282" s="6">
        <v>6.9796085357665998</v>
      </c>
      <c r="E282">
        <v>8.1300000000000008</v>
      </c>
      <c r="F282" s="3">
        <f t="shared" si="10"/>
        <v>-1.150391464233401</v>
      </c>
      <c r="G282" s="3">
        <f t="shared" si="11"/>
        <v>1.3234005209810684</v>
      </c>
    </row>
    <row r="283" spans="1:7" x14ac:dyDescent="0.35">
      <c r="B283" s="12" t="s">
        <v>50</v>
      </c>
      <c r="C283" t="s">
        <v>27</v>
      </c>
      <c r="D283" s="6">
        <v>21.085620880126999</v>
      </c>
      <c r="E283">
        <v>20.6</v>
      </c>
      <c r="F283" s="3">
        <f t="shared" si="10"/>
        <v>0.48562088012699789</v>
      </c>
      <c r="G283" s="3">
        <f t="shared" si="11"/>
        <v>0.23582763921532005</v>
      </c>
    </row>
    <row r="284" spans="1:7" x14ac:dyDescent="0.35">
      <c r="B284" s="12"/>
      <c r="C284" t="s">
        <v>29</v>
      </c>
      <c r="D284" s="6">
        <v>18.9239387512207</v>
      </c>
      <c r="E284">
        <v>16.03</v>
      </c>
      <c r="F284" s="3">
        <f t="shared" si="10"/>
        <v>2.8939387512206984</v>
      </c>
      <c r="G284" s="3">
        <f t="shared" si="11"/>
        <v>8.3748814958168154</v>
      </c>
    </row>
    <row r="285" spans="1:7" x14ac:dyDescent="0.35">
      <c r="B285" s="12"/>
      <c r="C285" t="s">
        <v>30</v>
      </c>
      <c r="D285" s="6">
        <v>23.5012321472168</v>
      </c>
      <c r="E285">
        <v>20.23</v>
      </c>
      <c r="F285" s="3">
        <f t="shared" si="10"/>
        <v>3.2712321472168</v>
      </c>
      <c r="G285" s="3">
        <f t="shared" si="11"/>
        <v>10.700959760984636</v>
      </c>
    </row>
    <row r="286" spans="1:7" x14ac:dyDescent="0.35">
      <c r="B286" s="12"/>
      <c r="C286" t="s">
        <v>11</v>
      </c>
      <c r="D286" s="6">
        <v>14.9496564865112</v>
      </c>
      <c r="E286">
        <v>17.79</v>
      </c>
      <c r="F286" s="3">
        <f t="shared" si="10"/>
        <v>-2.8403435134887989</v>
      </c>
      <c r="G286" s="3">
        <f t="shared" si="11"/>
        <v>8.0675512746178946</v>
      </c>
    </row>
    <row r="287" spans="1:7" x14ac:dyDescent="0.35">
      <c r="B287" s="12"/>
      <c r="C287" t="s">
        <v>13</v>
      </c>
      <c r="D287" s="6">
        <v>15.881507873535201</v>
      </c>
      <c r="E287">
        <v>16.350000000000001</v>
      </c>
      <c r="F287" s="3">
        <f t="shared" si="10"/>
        <v>-0.46849212646480076</v>
      </c>
      <c r="G287" s="3">
        <f t="shared" si="11"/>
        <v>0.21948487255951088</v>
      </c>
    </row>
    <row r="288" spans="1:7" x14ac:dyDescent="0.35">
      <c r="B288" s="12"/>
      <c r="C288" t="s">
        <v>14</v>
      </c>
      <c r="D288" s="6">
        <v>11.0379428863525</v>
      </c>
      <c r="E288">
        <v>10.62</v>
      </c>
      <c r="F288" s="3">
        <f t="shared" si="10"/>
        <v>0.41794288635250076</v>
      </c>
      <c r="G288" s="3">
        <f t="shared" si="11"/>
        <v>0.17467625625265937</v>
      </c>
    </row>
    <row r="289" spans="1:7" x14ac:dyDescent="0.35">
      <c r="B289" s="12"/>
      <c r="C289" t="s">
        <v>16</v>
      </c>
      <c r="D289" s="6">
        <v>17.894950866699201</v>
      </c>
      <c r="E289">
        <v>19.41</v>
      </c>
      <c r="F289" s="3">
        <f t="shared" si="10"/>
        <v>-1.5150491333007992</v>
      </c>
      <c r="G289" s="3">
        <f t="shared" si="11"/>
        <v>2.2953738763155025</v>
      </c>
    </row>
    <row r="290" spans="1:7" x14ac:dyDescent="0.35">
      <c r="A290">
        <v>21</v>
      </c>
      <c r="B290" s="12"/>
      <c r="C290" t="s">
        <v>17</v>
      </c>
      <c r="D290" s="6">
        <v>9.9020843505859393</v>
      </c>
      <c r="E290">
        <v>12.45</v>
      </c>
      <c r="F290" s="3">
        <f t="shared" si="10"/>
        <v>-2.54791564941406</v>
      </c>
      <c r="G290" s="3">
        <f t="shared" si="11"/>
        <v>6.4918741565290707</v>
      </c>
    </row>
    <row r="291" spans="1:7" x14ac:dyDescent="0.35">
      <c r="B291" s="12"/>
      <c r="C291" t="s">
        <v>19</v>
      </c>
      <c r="D291" s="6">
        <v>12.1510019302368</v>
      </c>
      <c r="E291">
        <v>12.48</v>
      </c>
      <c r="F291" s="3">
        <f t="shared" si="10"/>
        <v>-0.32899806976320001</v>
      </c>
      <c r="G291" s="3">
        <f t="shared" si="11"/>
        <v>0.10823972990791142</v>
      </c>
    </row>
    <row r="292" spans="1:7" x14ac:dyDescent="0.35">
      <c r="B292" s="12"/>
      <c r="C292" t="s">
        <v>20</v>
      </c>
      <c r="D292" s="6">
        <v>14.554007530212401</v>
      </c>
      <c r="E292">
        <v>15.95</v>
      </c>
      <c r="F292" s="3">
        <f t="shared" si="10"/>
        <v>-1.3959924697875987</v>
      </c>
      <c r="G292" s="3">
        <f t="shared" si="11"/>
        <v>1.9487949757036798</v>
      </c>
    </row>
    <row r="293" spans="1:7" x14ac:dyDescent="0.35">
      <c r="B293" s="12"/>
      <c r="C293" t="s">
        <v>21</v>
      </c>
      <c r="D293" s="6">
        <v>14.651165962219199</v>
      </c>
      <c r="E293">
        <v>15.66</v>
      </c>
      <c r="F293" s="3">
        <f t="shared" si="10"/>
        <v>-1.0088340377808009</v>
      </c>
      <c r="G293" s="3">
        <f t="shared" si="11"/>
        <v>1.0177461157851144</v>
      </c>
    </row>
    <row r="294" spans="1:7" x14ac:dyDescent="0.35">
      <c r="B294" s="12"/>
      <c r="C294" t="s">
        <v>22</v>
      </c>
      <c r="D294" s="6">
        <v>12.203774452209499</v>
      </c>
      <c r="E294">
        <v>10.43</v>
      </c>
      <c r="F294" s="3">
        <f t="shared" si="10"/>
        <v>1.7737744522094996</v>
      </c>
      <c r="G294" s="3">
        <f t="shared" si="11"/>
        <v>3.1462758073111101</v>
      </c>
    </row>
    <row r="295" spans="1:7" x14ac:dyDescent="0.35">
      <c r="B295" s="12"/>
      <c r="C295" t="s">
        <v>23</v>
      </c>
      <c r="D295" s="6">
        <v>20.7529411315918</v>
      </c>
      <c r="E295">
        <v>24.6</v>
      </c>
      <c r="F295" s="3">
        <f t="shared" si="10"/>
        <v>-3.847058868408201</v>
      </c>
      <c r="G295" s="3">
        <f t="shared" si="11"/>
        <v>14.799861936998187</v>
      </c>
    </row>
    <row r="296" spans="1:7" x14ac:dyDescent="0.35">
      <c r="B296" s="12"/>
      <c r="C296" t="s">
        <v>24</v>
      </c>
      <c r="D296" s="6">
        <v>11.6429347991943</v>
      </c>
      <c r="E296">
        <v>14.76</v>
      </c>
      <c r="F296" s="3">
        <f t="shared" si="10"/>
        <v>-3.1170652008056994</v>
      </c>
      <c r="G296" s="3">
        <f t="shared" si="11"/>
        <v>9.7160954660738756</v>
      </c>
    </row>
    <row r="297" spans="1:7" x14ac:dyDescent="0.35">
      <c r="A297" s="1"/>
      <c r="B297" s="12"/>
      <c r="C297" t="s">
        <v>25</v>
      </c>
      <c r="D297" s="6">
        <v>14.065894126892101</v>
      </c>
      <c r="E297">
        <v>13.24</v>
      </c>
      <c r="F297" s="3">
        <f t="shared" si="10"/>
        <v>0.82589412689210029</v>
      </c>
      <c r="G297" s="3">
        <f t="shared" si="11"/>
        <v>0.68210110883486463</v>
      </c>
    </row>
    <row r="298" spans="1:7" x14ac:dyDescent="0.35">
      <c r="B298" s="12" t="s">
        <v>51</v>
      </c>
      <c r="C298" t="s">
        <v>27</v>
      </c>
      <c r="D298" s="6">
        <v>36.522716522216797</v>
      </c>
      <c r="E298">
        <v>37.819999999999993</v>
      </c>
      <c r="F298" s="3">
        <f t="shared" si="10"/>
        <v>-1.2972834777831963</v>
      </c>
      <c r="G298" s="3">
        <f t="shared" si="11"/>
        <v>1.6829444217292648</v>
      </c>
    </row>
    <row r="299" spans="1:7" x14ac:dyDescent="0.35">
      <c r="B299" s="12"/>
      <c r="C299" t="s">
        <v>29</v>
      </c>
      <c r="D299" s="6">
        <v>35.495693206787102</v>
      </c>
      <c r="E299">
        <v>35.56</v>
      </c>
      <c r="F299" s="3">
        <f t="shared" si="10"/>
        <v>-6.4306793212900004E-2</v>
      </c>
      <c r="G299" s="3">
        <f t="shared" si="11"/>
        <v>4.1353636533266822E-3</v>
      </c>
    </row>
    <row r="300" spans="1:7" x14ac:dyDescent="0.35">
      <c r="B300" s="12"/>
      <c r="C300" t="s">
        <v>30</v>
      </c>
      <c r="D300" s="6">
        <v>35.915756225585902</v>
      </c>
      <c r="E300">
        <v>33.200000000000003</v>
      </c>
      <c r="F300" s="3">
        <f t="shared" si="10"/>
        <v>2.7157562255858991</v>
      </c>
      <c r="G300" s="3">
        <f t="shared" si="11"/>
        <v>7.3753318768085689</v>
      </c>
    </row>
    <row r="301" spans="1:7" x14ac:dyDescent="0.35">
      <c r="B301" s="12"/>
      <c r="C301" t="s">
        <v>11</v>
      </c>
      <c r="D301" s="6">
        <v>34.016136169433601</v>
      </c>
      <c r="E301">
        <v>36.89</v>
      </c>
      <c r="F301" s="3">
        <f t="shared" si="10"/>
        <v>-2.8738638305663997</v>
      </c>
      <c r="G301" s="3">
        <f t="shared" si="11"/>
        <v>8.2590933166377809</v>
      </c>
    </row>
    <row r="302" spans="1:7" x14ac:dyDescent="0.35">
      <c r="B302" s="12"/>
      <c r="C302" t="s">
        <v>13</v>
      </c>
      <c r="D302" s="6">
        <v>34.650730133056598</v>
      </c>
      <c r="E302">
        <v>32.379999999999995</v>
      </c>
      <c r="F302" s="3">
        <f t="shared" si="10"/>
        <v>2.2707301330566025</v>
      </c>
      <c r="G302" s="3">
        <f t="shared" si="11"/>
        <v>5.1562153371712558</v>
      </c>
    </row>
    <row r="303" spans="1:7" x14ac:dyDescent="0.35">
      <c r="B303" s="12"/>
      <c r="C303" t="s">
        <v>14</v>
      </c>
      <c r="D303" s="6">
        <v>32.603191375732401</v>
      </c>
      <c r="E303">
        <v>31.220000000000002</v>
      </c>
      <c r="F303" s="3">
        <f t="shared" si="10"/>
        <v>1.3831913757323981</v>
      </c>
      <c r="G303" s="3">
        <f t="shared" si="11"/>
        <v>1.9132183819004842</v>
      </c>
    </row>
    <row r="304" spans="1:7" x14ac:dyDescent="0.35">
      <c r="A304">
        <v>22</v>
      </c>
      <c r="B304" s="12"/>
      <c r="C304" t="s">
        <v>16</v>
      </c>
      <c r="D304" s="6">
        <v>34.691097259521499</v>
      </c>
      <c r="E304">
        <v>35.840000000000003</v>
      </c>
      <c r="F304" s="3">
        <f t="shared" si="10"/>
        <v>-1.1489027404785048</v>
      </c>
      <c r="G304" s="3">
        <f t="shared" si="11"/>
        <v>1.3199775070790185</v>
      </c>
    </row>
    <row r="305" spans="1:7" x14ac:dyDescent="0.35">
      <c r="B305" s="12"/>
      <c r="C305" t="s">
        <v>17</v>
      </c>
      <c r="D305" s="6">
        <v>32.237846374511697</v>
      </c>
      <c r="E305">
        <v>31.41</v>
      </c>
      <c r="F305" s="3">
        <f t="shared" si="10"/>
        <v>0.82784637451169729</v>
      </c>
      <c r="G305" s="3">
        <f t="shared" si="11"/>
        <v>0.68532961979216134</v>
      </c>
    </row>
    <row r="306" spans="1:7" x14ac:dyDescent="0.35">
      <c r="B306" s="12"/>
      <c r="C306" t="s">
        <v>19</v>
      </c>
      <c r="D306" s="6">
        <v>33.029167175292997</v>
      </c>
      <c r="E306">
        <v>31.16</v>
      </c>
      <c r="F306" s="3">
        <f t="shared" si="10"/>
        <v>1.869167175292997</v>
      </c>
      <c r="G306" s="3">
        <f t="shared" si="11"/>
        <v>3.4937859291928013</v>
      </c>
    </row>
    <row r="307" spans="1:7" x14ac:dyDescent="0.35">
      <c r="B307" s="12"/>
      <c r="C307" t="s">
        <v>20</v>
      </c>
      <c r="D307" s="6">
        <v>33.899063110351598</v>
      </c>
      <c r="E307">
        <v>32.340000000000003</v>
      </c>
      <c r="F307" s="3">
        <f t="shared" si="10"/>
        <v>1.5590631103515946</v>
      </c>
      <c r="G307" s="3">
        <f t="shared" si="11"/>
        <v>2.4306777820591883</v>
      </c>
    </row>
    <row r="308" spans="1:7" x14ac:dyDescent="0.35">
      <c r="B308" s="12"/>
      <c r="C308" t="s">
        <v>21</v>
      </c>
      <c r="D308" s="6">
        <v>34.199054718017599</v>
      </c>
      <c r="E308">
        <v>34.269999999999996</v>
      </c>
      <c r="F308" s="3">
        <f t="shared" si="10"/>
        <v>-7.094528198239658E-2</v>
      </c>
      <c r="G308" s="3">
        <f t="shared" si="11"/>
        <v>5.0332330355617651E-3</v>
      </c>
    </row>
    <row r="309" spans="1:7" x14ac:dyDescent="0.35">
      <c r="B309" s="12"/>
      <c r="C309" t="s">
        <v>22</v>
      </c>
      <c r="D309" s="6">
        <v>32.997356414794901</v>
      </c>
      <c r="E309">
        <v>30.84</v>
      </c>
      <c r="F309" s="3">
        <f t="shared" si="10"/>
        <v>2.1573564147949007</v>
      </c>
      <c r="G309" s="3">
        <f t="shared" si="11"/>
        <v>4.6541867004567079</v>
      </c>
    </row>
    <row r="310" spans="1:7" x14ac:dyDescent="0.35">
      <c r="B310" s="12"/>
      <c r="C310" t="s">
        <v>23</v>
      </c>
      <c r="D310" s="6">
        <v>36.550506591796903</v>
      </c>
      <c r="E310">
        <v>39.92</v>
      </c>
      <c r="F310" s="3">
        <f t="shared" si="10"/>
        <v>-3.3694934082030983</v>
      </c>
      <c r="G310" s="3">
        <f t="shared" si="11"/>
        <v>11.353485827924132</v>
      </c>
    </row>
    <row r="311" spans="1:7" x14ac:dyDescent="0.35">
      <c r="B311" s="12"/>
      <c r="C311" t="s">
        <v>24</v>
      </c>
      <c r="D311" s="6">
        <v>32.638065338134801</v>
      </c>
      <c r="E311">
        <v>32.950000000000003</v>
      </c>
      <c r="F311" s="3">
        <f t="shared" si="10"/>
        <v>-0.31193466186520169</v>
      </c>
      <c r="G311" s="3">
        <f t="shared" si="11"/>
        <v>9.7303233272957715E-2</v>
      </c>
    </row>
    <row r="312" spans="1:7" x14ac:dyDescent="0.35">
      <c r="A312" s="1"/>
      <c r="B312" s="12"/>
      <c r="C312" t="s">
        <v>25</v>
      </c>
      <c r="D312" s="6">
        <v>33.426174163818402</v>
      </c>
      <c r="E312">
        <v>34.180000000000007</v>
      </c>
      <c r="F312" s="3">
        <f t="shared" si="10"/>
        <v>-0.75382583618160481</v>
      </c>
      <c r="G312" s="3">
        <f t="shared" si="11"/>
        <v>0.56825339129489572</v>
      </c>
    </row>
    <row r="313" spans="1:7" x14ac:dyDescent="0.35">
      <c r="B313" s="7" t="s">
        <v>52</v>
      </c>
      <c r="C313" t="s">
        <v>27</v>
      </c>
      <c r="D313" s="6">
        <v>12.519926071166999</v>
      </c>
      <c r="E313">
        <v>11.13</v>
      </c>
      <c r="F313" s="3">
        <f t="shared" si="10"/>
        <v>1.3899260711669985</v>
      </c>
      <c r="G313" s="3">
        <f t="shared" si="11"/>
        <v>1.9318944833097282</v>
      </c>
    </row>
    <row r="314" spans="1:7" x14ac:dyDescent="0.35">
      <c r="B314" s="7"/>
      <c r="C314" t="s">
        <v>28</v>
      </c>
      <c r="D314" s="6">
        <v>10.0575723648071</v>
      </c>
      <c r="E314">
        <v>6.58</v>
      </c>
      <c r="F314" s="3">
        <f t="shared" si="10"/>
        <v>3.4775723648071004</v>
      </c>
      <c r="G314" s="3">
        <f t="shared" si="11"/>
        <v>12.093509552470049</v>
      </c>
    </row>
    <row r="315" spans="1:7" x14ac:dyDescent="0.35">
      <c r="B315" s="7"/>
      <c r="C315" t="s">
        <v>29</v>
      </c>
      <c r="D315" s="6">
        <v>12.308399200439499</v>
      </c>
      <c r="E315">
        <v>11.04</v>
      </c>
      <c r="F315" s="3">
        <f t="shared" si="10"/>
        <v>1.2683992004395002</v>
      </c>
      <c r="G315" s="3">
        <f t="shared" si="11"/>
        <v>1.6088365316755633</v>
      </c>
    </row>
    <row r="316" spans="1:7" x14ac:dyDescent="0.35">
      <c r="B316" s="7"/>
      <c r="C316" t="s">
        <v>30</v>
      </c>
      <c r="D316" s="6">
        <v>13.4106397628784</v>
      </c>
      <c r="E316">
        <v>12.49</v>
      </c>
      <c r="F316" s="3">
        <f t="shared" si="10"/>
        <v>0.92063976287839999</v>
      </c>
      <c r="G316" s="3">
        <f t="shared" si="11"/>
        <v>0.84757757299279657</v>
      </c>
    </row>
    <row r="317" spans="1:7" x14ac:dyDescent="0.35">
      <c r="A317">
        <v>23</v>
      </c>
      <c r="B317" s="7"/>
      <c r="C317" t="s">
        <v>11</v>
      </c>
      <c r="D317" s="6">
        <v>11.529076576232899</v>
      </c>
      <c r="E317">
        <v>8.6199999999999992</v>
      </c>
      <c r="F317" s="3">
        <f t="shared" si="10"/>
        <v>2.9090765762329003</v>
      </c>
      <c r="G317" s="3">
        <f t="shared" si="11"/>
        <v>8.462726526386934</v>
      </c>
    </row>
    <row r="318" spans="1:7" x14ac:dyDescent="0.35">
      <c r="B318" s="7"/>
      <c r="C318" t="s">
        <v>13</v>
      </c>
      <c r="D318" s="6">
        <v>11.7999324798584</v>
      </c>
      <c r="E318">
        <v>9.32</v>
      </c>
      <c r="F318" s="3">
        <f t="shared" si="10"/>
        <v>2.4799324798583999</v>
      </c>
      <c r="G318" s="3">
        <f t="shared" si="11"/>
        <v>6.1500651046566333</v>
      </c>
    </row>
    <row r="319" spans="1:7" x14ac:dyDescent="0.35">
      <c r="B319" s="7"/>
      <c r="C319" t="s">
        <v>16</v>
      </c>
      <c r="D319" s="6">
        <v>12.0711402893066</v>
      </c>
      <c r="E319">
        <v>12.29</v>
      </c>
      <c r="F319" s="3">
        <f t="shared" si="10"/>
        <v>-0.21885971069339938</v>
      </c>
      <c r="G319" s="3">
        <f t="shared" si="11"/>
        <v>4.7899572964798472E-2</v>
      </c>
    </row>
    <row r="320" spans="1:7" x14ac:dyDescent="0.35">
      <c r="B320" s="7"/>
      <c r="C320" t="s">
        <v>19</v>
      </c>
      <c r="D320" s="6">
        <v>9.5702066421508807</v>
      </c>
      <c r="E320">
        <v>7.2</v>
      </c>
      <c r="F320" s="3">
        <f t="shared" si="10"/>
        <v>2.3702066421508805</v>
      </c>
      <c r="G320" s="3">
        <f t="shared" si="11"/>
        <v>5.6178795264961519</v>
      </c>
    </row>
    <row r="321" spans="1:7" x14ac:dyDescent="0.35">
      <c r="B321" s="7"/>
      <c r="C321" t="s">
        <v>20</v>
      </c>
      <c r="D321" s="6">
        <v>11.3217678070068</v>
      </c>
      <c r="E321">
        <v>9.27</v>
      </c>
      <c r="F321" s="3">
        <f t="shared" si="10"/>
        <v>2.0517678070068008</v>
      </c>
      <c r="G321" s="3">
        <f t="shared" si="11"/>
        <v>4.2097511338694966</v>
      </c>
    </row>
    <row r="322" spans="1:7" x14ac:dyDescent="0.35">
      <c r="B322" s="7"/>
      <c r="C322" t="s">
        <v>21</v>
      </c>
      <c r="D322" s="6">
        <v>11.316707611084</v>
      </c>
      <c r="E322">
        <v>6.38</v>
      </c>
      <c r="F322" s="3">
        <f t="shared" si="10"/>
        <v>4.9367076110840005</v>
      </c>
      <c r="G322" s="3">
        <f t="shared" si="11"/>
        <v>24.371082037334698</v>
      </c>
    </row>
    <row r="323" spans="1:7" x14ac:dyDescent="0.35">
      <c r="B323" s="7"/>
      <c r="C323" t="s">
        <v>22</v>
      </c>
      <c r="D323" s="6">
        <v>10.8149366378784</v>
      </c>
      <c r="E323">
        <v>4.74</v>
      </c>
      <c r="F323" s="3">
        <f t="shared" ref="F323:F386" si="12">D323-E323</f>
        <v>6.0749366378784</v>
      </c>
      <c r="G323" s="3">
        <f t="shared" ref="G323:G386" si="13">F323^2</f>
        <v>36.904855154237318</v>
      </c>
    </row>
    <row r="324" spans="1:7" x14ac:dyDescent="0.35">
      <c r="B324" s="7"/>
      <c r="C324" t="s">
        <v>23</v>
      </c>
      <c r="D324" s="6">
        <v>11.3730764389038</v>
      </c>
      <c r="E324">
        <v>7.66</v>
      </c>
      <c r="F324" s="3">
        <f t="shared" si="12"/>
        <v>3.7130764389037996</v>
      </c>
      <c r="G324" s="3">
        <f t="shared" si="13"/>
        <v>13.786936641142521</v>
      </c>
    </row>
    <row r="325" spans="1:7" x14ac:dyDescent="0.35">
      <c r="B325" s="7"/>
      <c r="C325" t="s">
        <v>24</v>
      </c>
      <c r="D325" s="6">
        <v>10.251777648925801</v>
      </c>
      <c r="E325">
        <v>4.1399999999999997</v>
      </c>
      <c r="F325" s="3">
        <f t="shared" si="12"/>
        <v>6.1117776489258011</v>
      </c>
      <c r="G325" s="3">
        <f t="shared" si="13"/>
        <v>37.353826029908994</v>
      </c>
    </row>
    <row r="326" spans="1:7" x14ac:dyDescent="0.35">
      <c r="A326" s="1"/>
      <c r="B326" s="10"/>
      <c r="C326" t="s">
        <v>25</v>
      </c>
      <c r="D326" s="6">
        <v>11.270515441894499</v>
      </c>
      <c r="E326">
        <v>7.84</v>
      </c>
      <c r="F326" s="3">
        <f t="shared" si="12"/>
        <v>3.4305154418944994</v>
      </c>
      <c r="G326" s="3">
        <f t="shared" si="13"/>
        <v>11.768436197076612</v>
      </c>
    </row>
    <row r="327" spans="1:7" x14ac:dyDescent="0.35">
      <c r="B327" s="7" t="s">
        <v>53</v>
      </c>
      <c r="C327" t="s">
        <v>27</v>
      </c>
      <c r="D327" s="6">
        <v>8.3434467315673793</v>
      </c>
      <c r="E327">
        <v>3.79</v>
      </c>
      <c r="F327" s="3">
        <f t="shared" si="12"/>
        <v>4.5534467315673792</v>
      </c>
      <c r="G327" s="3">
        <f t="shared" si="13"/>
        <v>20.733877137221647</v>
      </c>
    </row>
    <row r="328" spans="1:7" x14ac:dyDescent="0.35">
      <c r="B328" s="7"/>
      <c r="C328" t="s">
        <v>28</v>
      </c>
      <c r="D328" s="6">
        <v>1.4219319820404099</v>
      </c>
      <c r="E328">
        <v>2.19</v>
      </c>
      <c r="F328" s="3">
        <f t="shared" si="12"/>
        <v>-0.76806801795959001</v>
      </c>
      <c r="G328" s="3">
        <f t="shared" si="13"/>
        <v>0.5899284802123731</v>
      </c>
    </row>
    <row r="329" spans="1:7" x14ac:dyDescent="0.35">
      <c r="A329">
        <v>24</v>
      </c>
      <c r="B329" s="7"/>
      <c r="C329" t="s">
        <v>29</v>
      </c>
      <c r="D329" s="6">
        <v>6.9270071983337402</v>
      </c>
      <c r="E329">
        <v>3.6500000000000004</v>
      </c>
      <c r="F329" s="3">
        <f t="shared" si="12"/>
        <v>3.2770071983337399</v>
      </c>
      <c r="G329" s="3">
        <f t="shared" si="13"/>
        <v>10.738776177931147</v>
      </c>
    </row>
    <row r="330" spans="1:7" x14ac:dyDescent="0.35">
      <c r="B330" s="7"/>
      <c r="C330" t="s">
        <v>11</v>
      </c>
      <c r="D330" s="6">
        <v>4.5333824157714799</v>
      </c>
      <c r="E330">
        <v>5.93</v>
      </c>
      <c r="F330" s="3">
        <f t="shared" si="12"/>
        <v>-1.3966175842285198</v>
      </c>
      <c r="G330" s="3">
        <f t="shared" si="13"/>
        <v>1.9505406765763065</v>
      </c>
    </row>
    <row r="331" spans="1:7" x14ac:dyDescent="0.35">
      <c r="B331" s="7"/>
      <c r="C331" t="s">
        <v>13</v>
      </c>
      <c r="D331" s="6">
        <v>5.9023609161376998</v>
      </c>
      <c r="E331">
        <v>4.28</v>
      </c>
      <c r="F331" s="3">
        <f t="shared" si="12"/>
        <v>1.6223609161376995</v>
      </c>
      <c r="G331" s="3">
        <f t="shared" si="13"/>
        <v>2.6320549422111554</v>
      </c>
    </row>
    <row r="332" spans="1:7" x14ac:dyDescent="0.35">
      <c r="B332" s="7"/>
      <c r="C332" t="s">
        <v>14</v>
      </c>
      <c r="D332" s="6">
        <v>2.3176739215850799</v>
      </c>
      <c r="E332">
        <v>2.59</v>
      </c>
      <c r="F332" s="3">
        <f t="shared" si="12"/>
        <v>-0.27232607841491996</v>
      </c>
      <c r="G332" s="3">
        <f t="shared" si="13"/>
        <v>7.4161492984849128E-2</v>
      </c>
    </row>
    <row r="333" spans="1:7" x14ac:dyDescent="0.35">
      <c r="B333" s="7"/>
      <c r="C333" t="s">
        <v>16</v>
      </c>
      <c r="D333" s="6">
        <v>5.5747094154357901</v>
      </c>
      <c r="E333">
        <v>4.01</v>
      </c>
      <c r="F333" s="3">
        <f t="shared" si="12"/>
        <v>1.5647094154357903</v>
      </c>
      <c r="G333" s="3">
        <f t="shared" si="13"/>
        <v>2.4483155547534126</v>
      </c>
    </row>
    <row r="334" spans="1:7" x14ac:dyDescent="0.35">
      <c r="B334" s="7"/>
      <c r="C334" t="s">
        <v>17</v>
      </c>
      <c r="D334" s="6">
        <v>1.8097038269043</v>
      </c>
      <c r="E334">
        <v>2.68</v>
      </c>
      <c r="F334" s="3">
        <f t="shared" si="12"/>
        <v>-0.87029617309570018</v>
      </c>
      <c r="G334" s="3">
        <f t="shared" si="13"/>
        <v>0.75741542890502089</v>
      </c>
    </row>
    <row r="335" spans="1:7" x14ac:dyDescent="0.35">
      <c r="B335" s="7"/>
      <c r="C335" t="s">
        <v>19</v>
      </c>
      <c r="D335" s="6">
        <v>3.4525215625762899</v>
      </c>
      <c r="E335">
        <v>4.03</v>
      </c>
      <c r="F335" s="3">
        <f t="shared" si="12"/>
        <v>-0.5774784374237103</v>
      </c>
      <c r="G335" s="3">
        <f t="shared" si="13"/>
        <v>0.33348134568933008</v>
      </c>
    </row>
    <row r="336" spans="1:7" x14ac:dyDescent="0.35">
      <c r="B336" s="7"/>
      <c r="C336" t="s">
        <v>20</v>
      </c>
      <c r="D336" s="6">
        <v>4.0301814079284703</v>
      </c>
      <c r="E336">
        <v>5.07</v>
      </c>
      <c r="F336" s="3">
        <f t="shared" si="12"/>
        <v>-1.0398185920715299</v>
      </c>
      <c r="G336" s="3">
        <f t="shared" si="13"/>
        <v>1.0812227044176188</v>
      </c>
    </row>
    <row r="337" spans="1:7" x14ac:dyDescent="0.35">
      <c r="B337" s="7"/>
      <c r="C337" t="s">
        <v>21</v>
      </c>
      <c r="D337" s="6">
        <v>4.0951595306396502</v>
      </c>
      <c r="E337">
        <v>3.16</v>
      </c>
      <c r="F337" s="3">
        <f t="shared" si="12"/>
        <v>0.93515953063965007</v>
      </c>
      <c r="G337" s="3">
        <f t="shared" si="13"/>
        <v>0.87452334774617058</v>
      </c>
    </row>
    <row r="338" spans="1:7" x14ac:dyDescent="0.35">
      <c r="B338" s="7"/>
      <c r="C338" t="s">
        <v>22</v>
      </c>
      <c r="D338" s="6">
        <v>3.6535696983337398</v>
      </c>
      <c r="E338">
        <v>2.7</v>
      </c>
      <c r="F338" s="3">
        <f t="shared" si="12"/>
        <v>0.95356969833373961</v>
      </c>
      <c r="G338" s="3">
        <f t="shared" si="13"/>
        <v>0.90929516958029921</v>
      </c>
    </row>
    <row r="339" spans="1:7" x14ac:dyDescent="0.35">
      <c r="B339" s="7"/>
      <c r="C339" t="s">
        <v>23</v>
      </c>
      <c r="D339" s="6">
        <v>6.7314910888671902</v>
      </c>
      <c r="E339">
        <v>3.14</v>
      </c>
      <c r="F339" s="3">
        <f t="shared" si="12"/>
        <v>3.59149108886719</v>
      </c>
      <c r="G339" s="3">
        <f t="shared" si="13"/>
        <v>12.898808241412434</v>
      </c>
    </row>
    <row r="340" spans="1:7" x14ac:dyDescent="0.35">
      <c r="B340" s="7"/>
      <c r="C340" t="s">
        <v>24</v>
      </c>
      <c r="D340" s="6">
        <v>2.3104209899902299</v>
      </c>
      <c r="E340">
        <v>3.26</v>
      </c>
      <c r="F340" s="3">
        <f t="shared" si="12"/>
        <v>-0.94957901000976985</v>
      </c>
      <c r="G340" s="3">
        <f t="shared" si="13"/>
        <v>0.90170029625113457</v>
      </c>
    </row>
    <row r="341" spans="1:7" x14ac:dyDescent="0.35">
      <c r="A341" s="1"/>
      <c r="B341" s="10"/>
      <c r="C341" t="s">
        <v>25</v>
      </c>
      <c r="D341" s="6">
        <v>6.0226778984069798</v>
      </c>
      <c r="E341">
        <v>4.5</v>
      </c>
      <c r="F341" s="3">
        <f t="shared" si="12"/>
        <v>1.5226778984069798</v>
      </c>
      <c r="G341" s="3">
        <f t="shared" si="13"/>
        <v>2.3185479822970967</v>
      </c>
    </row>
    <row r="342" spans="1:7" x14ac:dyDescent="0.35">
      <c r="B342" s="7" t="s">
        <v>54</v>
      </c>
      <c r="C342" t="s">
        <v>27</v>
      </c>
      <c r="D342" s="6">
        <v>8.3440732955932599</v>
      </c>
      <c r="E342">
        <v>9.76</v>
      </c>
      <c r="F342" s="3">
        <f t="shared" si="12"/>
        <v>-1.4159267044067398</v>
      </c>
      <c r="G342" s="3">
        <f t="shared" si="13"/>
        <v>2.0048484322521314</v>
      </c>
    </row>
    <row r="343" spans="1:7" x14ac:dyDescent="0.35">
      <c r="B343" s="7"/>
      <c r="C343" t="s">
        <v>28</v>
      </c>
      <c r="D343" s="6">
        <v>1.4219366312027</v>
      </c>
      <c r="E343">
        <v>1.58</v>
      </c>
      <c r="F343" s="3">
        <f t="shared" si="12"/>
        <v>-0.1580633687973001</v>
      </c>
      <c r="G343" s="3">
        <f t="shared" si="13"/>
        <v>2.4984028555551301E-2</v>
      </c>
    </row>
    <row r="344" spans="1:7" x14ac:dyDescent="0.35">
      <c r="B344" s="7"/>
      <c r="C344" t="s">
        <v>29</v>
      </c>
      <c r="D344" s="6">
        <v>6.9238629341125497</v>
      </c>
      <c r="E344">
        <v>8.15</v>
      </c>
      <c r="F344" s="3">
        <f t="shared" si="12"/>
        <v>-1.2261370658874506</v>
      </c>
      <c r="G344" s="3">
        <f t="shared" si="13"/>
        <v>1.5034121043430864</v>
      </c>
    </row>
    <row r="345" spans="1:7" x14ac:dyDescent="0.35">
      <c r="B345" s="7"/>
      <c r="C345" t="s">
        <v>30</v>
      </c>
      <c r="D345" s="6">
        <v>9.5507850646972692</v>
      </c>
      <c r="E345">
        <v>10.039999999999999</v>
      </c>
      <c r="F345" s="3">
        <f t="shared" si="12"/>
        <v>-0.48921493530272997</v>
      </c>
      <c r="G345" s="3">
        <f t="shared" si="13"/>
        <v>0.23933125292325427</v>
      </c>
    </row>
    <row r="346" spans="1:7" x14ac:dyDescent="0.35">
      <c r="A346">
        <v>25</v>
      </c>
      <c r="B346" s="7"/>
      <c r="C346" t="s">
        <v>11</v>
      </c>
      <c r="D346" s="6">
        <v>4.5196471214294398</v>
      </c>
      <c r="E346">
        <v>6.63</v>
      </c>
      <c r="F346" s="3">
        <f t="shared" si="12"/>
        <v>-2.1103528785705601</v>
      </c>
      <c r="G346" s="3">
        <f t="shared" si="13"/>
        <v>4.4535892720910493</v>
      </c>
    </row>
    <row r="347" spans="1:7" x14ac:dyDescent="0.35">
      <c r="B347" s="7"/>
      <c r="C347" t="s">
        <v>13</v>
      </c>
      <c r="D347" s="6">
        <v>5.9138917922973597</v>
      </c>
      <c r="E347">
        <v>6.84</v>
      </c>
      <c r="F347" s="3">
        <f t="shared" si="12"/>
        <v>-0.92610820770264013</v>
      </c>
      <c r="G347" s="3">
        <f t="shared" si="13"/>
        <v>0.85767641237419645</v>
      </c>
    </row>
    <row r="348" spans="1:7" x14ac:dyDescent="0.35">
      <c r="B348" s="7"/>
      <c r="C348" t="s">
        <v>14</v>
      </c>
      <c r="D348" s="6">
        <v>2.3176932334899898</v>
      </c>
      <c r="E348">
        <v>2.94</v>
      </c>
      <c r="F348" s="3">
        <f t="shared" si="12"/>
        <v>-0.62230676651001016</v>
      </c>
      <c r="G348" s="3">
        <f t="shared" si="13"/>
        <v>0.38726571164414431</v>
      </c>
    </row>
    <row r="349" spans="1:7" x14ac:dyDescent="0.35">
      <c r="B349" s="7"/>
      <c r="C349" t="s">
        <v>16</v>
      </c>
      <c r="D349" s="6">
        <v>5.5777354240417498</v>
      </c>
      <c r="E349">
        <v>8.77</v>
      </c>
      <c r="F349" s="3">
        <f t="shared" si="12"/>
        <v>-3.1922645759582498</v>
      </c>
      <c r="G349" s="3">
        <f t="shared" si="13"/>
        <v>10.190553122917905</v>
      </c>
    </row>
    <row r="350" spans="1:7" x14ac:dyDescent="0.35">
      <c r="B350" s="7"/>
      <c r="C350" t="s">
        <v>17</v>
      </c>
      <c r="D350" s="6">
        <v>1.8097119331359901</v>
      </c>
      <c r="E350">
        <v>2.33</v>
      </c>
      <c r="F350" s="3">
        <f t="shared" si="12"/>
        <v>-0.52028806686400997</v>
      </c>
      <c r="G350" s="3">
        <f t="shared" si="13"/>
        <v>0.27069967252108851</v>
      </c>
    </row>
    <row r="351" spans="1:7" x14ac:dyDescent="0.35">
      <c r="B351" s="7"/>
      <c r="C351" t="s">
        <v>19</v>
      </c>
      <c r="D351" s="6">
        <v>3.4494559764862101</v>
      </c>
      <c r="E351">
        <v>4.95</v>
      </c>
      <c r="F351" s="3">
        <f t="shared" si="12"/>
        <v>-1.5005440235137901</v>
      </c>
      <c r="G351" s="3">
        <f t="shared" si="13"/>
        <v>2.2516323665029541</v>
      </c>
    </row>
    <row r="352" spans="1:7" x14ac:dyDescent="0.35">
      <c r="B352" s="7"/>
      <c r="C352" t="s">
        <v>20</v>
      </c>
      <c r="D352" s="6">
        <v>4.0200843811035201</v>
      </c>
      <c r="E352">
        <v>5.78</v>
      </c>
      <c r="F352" s="3">
        <f t="shared" si="12"/>
        <v>-1.7599156188964802</v>
      </c>
      <c r="G352" s="3">
        <f t="shared" si="13"/>
        <v>3.097302985635781</v>
      </c>
    </row>
    <row r="353" spans="1:7" x14ac:dyDescent="0.35">
      <c r="B353" s="7"/>
      <c r="C353" t="s">
        <v>21</v>
      </c>
      <c r="D353" s="6">
        <v>4.0730605125427299</v>
      </c>
      <c r="E353">
        <v>4.9800000000000004</v>
      </c>
      <c r="F353" s="3">
        <f t="shared" si="12"/>
        <v>-0.90693948745727049</v>
      </c>
      <c r="G353" s="3">
        <f t="shared" si="13"/>
        <v>0.82253923390925654</v>
      </c>
    </row>
    <row r="354" spans="1:7" x14ac:dyDescent="0.35">
      <c r="B354" s="7"/>
      <c r="C354" t="s">
        <v>22</v>
      </c>
      <c r="D354" s="6">
        <v>3.6473658084869398</v>
      </c>
      <c r="E354">
        <v>3.96</v>
      </c>
      <c r="F354" s="3">
        <f t="shared" si="12"/>
        <v>-0.31263419151306016</v>
      </c>
      <c r="G354" s="3">
        <f t="shared" si="13"/>
        <v>9.7740137703024768E-2</v>
      </c>
    </row>
    <row r="355" spans="1:7" x14ac:dyDescent="0.35">
      <c r="B355" s="7"/>
      <c r="C355" t="s">
        <v>23</v>
      </c>
      <c r="D355" s="6">
        <v>6.7005734443664604</v>
      </c>
      <c r="E355">
        <v>7.8800000000000008</v>
      </c>
      <c r="F355" s="3">
        <f t="shared" si="12"/>
        <v>-1.1794265556335404</v>
      </c>
      <c r="G355" s="3">
        <f t="shared" si="13"/>
        <v>1.3910470001335966</v>
      </c>
    </row>
    <row r="356" spans="1:7" x14ac:dyDescent="0.35">
      <c r="B356" s="7"/>
      <c r="C356" t="s">
        <v>24</v>
      </c>
      <c r="D356" s="6">
        <v>2.3104405403137198</v>
      </c>
      <c r="E356">
        <v>3.34</v>
      </c>
      <c r="F356" s="3">
        <f t="shared" si="12"/>
        <v>-1.02955945968628</v>
      </c>
      <c r="G356" s="3">
        <f t="shared" si="13"/>
        <v>1.0599926810295048</v>
      </c>
    </row>
    <row r="357" spans="1:7" x14ac:dyDescent="0.35">
      <c r="A357" s="1"/>
      <c r="B357" s="10"/>
      <c r="C357" t="s">
        <v>25</v>
      </c>
      <c r="D357" s="6">
        <v>6.0143284797668501</v>
      </c>
      <c r="E357">
        <v>6.82</v>
      </c>
      <c r="F357" s="3">
        <f t="shared" si="12"/>
        <v>-0.80567152023315014</v>
      </c>
      <c r="G357" s="3">
        <f t="shared" si="13"/>
        <v>0.64910659851479524</v>
      </c>
    </row>
    <row r="358" spans="1:7" x14ac:dyDescent="0.35">
      <c r="B358" s="12" t="s">
        <v>55</v>
      </c>
      <c r="C358" t="s">
        <v>28</v>
      </c>
      <c r="D358" s="6">
        <v>1.4219366312027</v>
      </c>
      <c r="E358">
        <v>1.5299999999999998</v>
      </c>
      <c r="F358" s="3">
        <f t="shared" si="12"/>
        <v>-0.10806336879729983</v>
      </c>
      <c r="G358" s="3">
        <f t="shared" si="13"/>
        <v>1.1677691675821235E-2</v>
      </c>
    </row>
    <row r="359" spans="1:7" x14ac:dyDescent="0.35">
      <c r="B359" s="12"/>
      <c r="C359" t="s">
        <v>29</v>
      </c>
      <c r="D359" s="6">
        <v>6.9238629341125497</v>
      </c>
      <c r="E359">
        <v>5.24</v>
      </c>
      <c r="F359" s="3">
        <f t="shared" si="12"/>
        <v>1.6838629341125495</v>
      </c>
      <c r="G359" s="3">
        <f t="shared" si="13"/>
        <v>2.8353943808781241</v>
      </c>
    </row>
    <row r="360" spans="1:7" x14ac:dyDescent="0.35">
      <c r="B360" s="12"/>
      <c r="C360" t="s">
        <v>30</v>
      </c>
      <c r="D360" s="6">
        <v>9.5507850646972692</v>
      </c>
      <c r="E360">
        <v>7.52</v>
      </c>
      <c r="F360" s="3">
        <f t="shared" si="12"/>
        <v>2.0307850646972696</v>
      </c>
      <c r="G360" s="3">
        <f t="shared" si="13"/>
        <v>4.1240879789974931</v>
      </c>
    </row>
    <row r="361" spans="1:7" x14ac:dyDescent="0.35">
      <c r="B361" s="12"/>
      <c r="C361" t="s">
        <v>13</v>
      </c>
      <c r="D361" s="6">
        <v>5.9138917922973597</v>
      </c>
      <c r="E361">
        <v>6.08</v>
      </c>
      <c r="F361" s="3">
        <f t="shared" si="12"/>
        <v>-0.16610820770264034</v>
      </c>
      <c r="G361" s="3">
        <f t="shared" si="13"/>
        <v>2.7591936666183505E-2</v>
      </c>
    </row>
    <row r="362" spans="1:7" x14ac:dyDescent="0.35">
      <c r="B362" s="12"/>
      <c r="C362" t="s">
        <v>14</v>
      </c>
      <c r="D362" s="6">
        <v>2.3176932334899898</v>
      </c>
      <c r="E362">
        <v>3.07</v>
      </c>
      <c r="F362" s="3">
        <f t="shared" si="12"/>
        <v>-0.75230676651001005</v>
      </c>
      <c r="G362" s="3">
        <f t="shared" si="13"/>
        <v>0.56596547093674676</v>
      </c>
    </row>
    <row r="363" spans="1:7" x14ac:dyDescent="0.35">
      <c r="B363" s="12"/>
      <c r="C363" t="s">
        <v>16</v>
      </c>
      <c r="D363" s="6">
        <v>5.5777354240417498</v>
      </c>
      <c r="E363">
        <v>6.21</v>
      </c>
      <c r="F363" s="3">
        <f t="shared" si="12"/>
        <v>-0.63226457595825014</v>
      </c>
      <c r="G363" s="3">
        <f t="shared" si="13"/>
        <v>0.39975849401166585</v>
      </c>
    </row>
    <row r="364" spans="1:7" x14ac:dyDescent="0.35">
      <c r="B364" s="12"/>
      <c r="C364" t="s">
        <v>17</v>
      </c>
      <c r="D364" s="6">
        <v>1.8097119331359901</v>
      </c>
      <c r="E364">
        <v>2.34</v>
      </c>
      <c r="F364" s="3">
        <f t="shared" si="12"/>
        <v>-0.53028806686400976</v>
      </c>
      <c r="G364" s="3">
        <f t="shared" si="13"/>
        <v>0.28120543385836849</v>
      </c>
    </row>
    <row r="365" spans="1:7" x14ac:dyDescent="0.35">
      <c r="A365">
        <v>26</v>
      </c>
      <c r="B365" s="12"/>
      <c r="C365" t="s">
        <v>19</v>
      </c>
      <c r="D365" s="6">
        <v>3.4494559764862101</v>
      </c>
      <c r="E365">
        <v>4.58</v>
      </c>
      <c r="F365" s="3">
        <f t="shared" si="12"/>
        <v>-1.13054402351379</v>
      </c>
      <c r="G365" s="3">
        <f t="shared" si="13"/>
        <v>1.278129789102749</v>
      </c>
    </row>
    <row r="366" spans="1:7" x14ac:dyDescent="0.35">
      <c r="B366" s="12"/>
      <c r="C366" t="s">
        <v>20</v>
      </c>
      <c r="D366" s="6">
        <v>4.0200843811035201</v>
      </c>
      <c r="E366">
        <v>5.43</v>
      </c>
      <c r="F366" s="3">
        <f t="shared" si="12"/>
        <v>-1.4099156188964796</v>
      </c>
      <c r="G366" s="3">
        <f t="shared" si="13"/>
        <v>1.9878620524082433</v>
      </c>
    </row>
    <row r="367" spans="1:7" x14ac:dyDescent="0.35">
      <c r="B367" s="12"/>
      <c r="C367" t="s">
        <v>21</v>
      </c>
      <c r="D367" s="6">
        <v>4.0730605125427299</v>
      </c>
      <c r="E367">
        <v>3.6100000000000003</v>
      </c>
      <c r="F367" s="3">
        <f t="shared" si="12"/>
        <v>0.46306051254272962</v>
      </c>
      <c r="G367" s="3">
        <f t="shared" si="13"/>
        <v>0.21442503827633547</v>
      </c>
    </row>
    <row r="368" spans="1:7" x14ac:dyDescent="0.35">
      <c r="B368" s="12"/>
      <c r="C368" t="s">
        <v>22</v>
      </c>
      <c r="D368" s="6">
        <v>3.6473658084869398</v>
      </c>
      <c r="E368">
        <v>2.89</v>
      </c>
      <c r="F368" s="3">
        <f t="shared" si="12"/>
        <v>0.75736580848693968</v>
      </c>
      <c r="G368" s="3">
        <f t="shared" si="13"/>
        <v>0.57360296786507581</v>
      </c>
    </row>
    <row r="369" spans="1:7" x14ac:dyDescent="0.35">
      <c r="B369" s="12"/>
      <c r="C369" t="s">
        <v>23</v>
      </c>
      <c r="D369" s="6">
        <v>6.7005734443664604</v>
      </c>
      <c r="E369">
        <v>3.08</v>
      </c>
      <c r="F369" s="3">
        <f t="shared" si="12"/>
        <v>3.6205734443664603</v>
      </c>
      <c r="G369" s="3">
        <f t="shared" si="13"/>
        <v>13.108552066051613</v>
      </c>
    </row>
    <row r="370" spans="1:7" x14ac:dyDescent="0.35">
      <c r="B370" s="12"/>
      <c r="C370" t="s">
        <v>24</v>
      </c>
      <c r="D370" s="6">
        <v>2.3104405403137198</v>
      </c>
      <c r="E370">
        <v>3.32</v>
      </c>
      <c r="F370" s="3">
        <f t="shared" si="12"/>
        <v>-1.00955945968628</v>
      </c>
      <c r="G370" s="3">
        <f t="shared" si="13"/>
        <v>1.0192103026420536</v>
      </c>
    </row>
    <row r="371" spans="1:7" x14ac:dyDescent="0.35">
      <c r="A371" s="1"/>
      <c r="B371" s="12"/>
      <c r="C371" t="s">
        <v>25</v>
      </c>
      <c r="D371" s="6">
        <v>6.0143284797668501</v>
      </c>
      <c r="E371">
        <v>5.89</v>
      </c>
      <c r="F371" s="3">
        <f t="shared" si="12"/>
        <v>0.12432847976685046</v>
      </c>
      <c r="G371" s="3">
        <f t="shared" si="13"/>
        <v>1.5457570881136145E-2</v>
      </c>
    </row>
    <row r="372" spans="1:7" x14ac:dyDescent="0.35">
      <c r="B372" s="12" t="s">
        <v>56</v>
      </c>
      <c r="C372" t="s">
        <v>27</v>
      </c>
      <c r="D372" s="6">
        <v>17.267972946166999</v>
      </c>
      <c r="E372">
        <v>21.89</v>
      </c>
      <c r="F372" s="3">
        <f t="shared" si="12"/>
        <v>-4.6220270538330013</v>
      </c>
      <c r="G372" s="3">
        <f t="shared" si="13"/>
        <v>21.363134086364173</v>
      </c>
    </row>
    <row r="373" spans="1:7" x14ac:dyDescent="0.35">
      <c r="B373" s="12"/>
      <c r="C373" t="s">
        <v>29</v>
      </c>
      <c r="D373" s="6">
        <v>16.965282440185501</v>
      </c>
      <c r="E373">
        <v>13.88</v>
      </c>
      <c r="F373" s="3">
        <f t="shared" si="12"/>
        <v>3.0852824401854999</v>
      </c>
      <c r="G373" s="3">
        <f t="shared" si="13"/>
        <v>9.5189677357169931</v>
      </c>
    </row>
    <row r="374" spans="1:7" x14ac:dyDescent="0.35">
      <c r="B374" s="12"/>
      <c r="C374" t="s">
        <v>30</v>
      </c>
      <c r="D374" s="6">
        <v>20.554725646972699</v>
      </c>
      <c r="E374">
        <v>16.28</v>
      </c>
      <c r="F374" s="3">
        <f t="shared" si="12"/>
        <v>4.2747256469726977</v>
      </c>
      <c r="G374" s="3">
        <f t="shared" si="13"/>
        <v>18.27327935688615</v>
      </c>
    </row>
    <row r="375" spans="1:7" x14ac:dyDescent="0.35">
      <c r="B375" s="12"/>
      <c r="C375" t="s">
        <v>11</v>
      </c>
      <c r="D375" s="6">
        <v>13.547269821166999</v>
      </c>
      <c r="E375">
        <v>12.65</v>
      </c>
      <c r="F375" s="3">
        <f t="shared" si="12"/>
        <v>0.89726982116699894</v>
      </c>
      <c r="G375" s="3">
        <f t="shared" si="13"/>
        <v>0.80509313197705823</v>
      </c>
    </row>
    <row r="376" spans="1:7" x14ac:dyDescent="0.35">
      <c r="B376" s="12"/>
      <c r="C376" t="s">
        <v>13</v>
      </c>
      <c r="D376" s="6">
        <v>14.5403709411621</v>
      </c>
      <c r="E376">
        <v>9.49</v>
      </c>
      <c r="F376" s="3">
        <f t="shared" si="12"/>
        <v>5.0503709411621003</v>
      </c>
      <c r="G376" s="3">
        <f t="shared" si="13"/>
        <v>25.50624664333456</v>
      </c>
    </row>
    <row r="377" spans="1:7" x14ac:dyDescent="0.35">
      <c r="B377" s="12"/>
      <c r="C377" t="s">
        <v>16</v>
      </c>
      <c r="D377" s="6">
        <v>17.406356811523398</v>
      </c>
      <c r="E377">
        <v>16.690000000000001</v>
      </c>
      <c r="F377" s="3">
        <f t="shared" si="12"/>
        <v>0.71635681152339714</v>
      </c>
      <c r="G377" s="3">
        <f t="shared" si="13"/>
        <v>0.5131670814159679</v>
      </c>
    </row>
    <row r="378" spans="1:7" x14ac:dyDescent="0.35">
      <c r="A378">
        <v>27</v>
      </c>
      <c r="B378" s="12"/>
      <c r="C378" t="s">
        <v>17</v>
      </c>
      <c r="D378" s="6">
        <v>12.133440017700201</v>
      </c>
      <c r="E378">
        <v>8.48</v>
      </c>
      <c r="F378" s="3">
        <f t="shared" si="12"/>
        <v>3.6534400177002002</v>
      </c>
      <c r="G378" s="3">
        <f t="shared" si="13"/>
        <v>13.347623962933239</v>
      </c>
    </row>
    <row r="379" spans="1:7" x14ac:dyDescent="0.35">
      <c r="B379" s="12"/>
      <c r="C379" t="s">
        <v>19</v>
      </c>
      <c r="D379" s="6">
        <v>13.0069427490234</v>
      </c>
      <c r="E379">
        <v>9.4499999999999993</v>
      </c>
      <c r="F379" s="3">
        <f t="shared" si="12"/>
        <v>3.5569427490234009</v>
      </c>
      <c r="G379" s="3">
        <f t="shared" si="13"/>
        <v>12.651841719830148</v>
      </c>
    </row>
    <row r="380" spans="1:7" x14ac:dyDescent="0.35">
      <c r="B380" s="12"/>
      <c r="C380" t="s">
        <v>20</v>
      </c>
      <c r="D380" s="6">
        <v>13.797681808471699</v>
      </c>
      <c r="E380">
        <v>10.28</v>
      </c>
      <c r="F380" s="3">
        <f t="shared" si="12"/>
        <v>3.5176818084716999</v>
      </c>
      <c r="G380" s="3">
        <f t="shared" si="13"/>
        <v>12.374085305652729</v>
      </c>
    </row>
    <row r="381" spans="1:7" x14ac:dyDescent="0.35">
      <c r="B381" s="12"/>
      <c r="C381" t="s">
        <v>21</v>
      </c>
      <c r="D381" s="6">
        <v>13.837394714355501</v>
      </c>
      <c r="E381">
        <v>9.67</v>
      </c>
      <c r="F381" s="3">
        <f t="shared" si="12"/>
        <v>4.1673947143555008</v>
      </c>
      <c r="G381" s="3">
        <f t="shared" si="13"/>
        <v>17.367178705238167</v>
      </c>
    </row>
    <row r="382" spans="1:7" x14ac:dyDescent="0.35">
      <c r="B382" s="12"/>
      <c r="C382" t="s">
        <v>23</v>
      </c>
      <c r="D382" s="6">
        <v>17.062202453613299</v>
      </c>
      <c r="E382">
        <v>16.05</v>
      </c>
      <c r="F382" s="3">
        <f t="shared" si="12"/>
        <v>1.0122024536132983</v>
      </c>
      <c r="G382" s="3">
        <f t="shared" si="13"/>
        <v>1.0245538071007814</v>
      </c>
    </row>
    <row r="383" spans="1:7" x14ac:dyDescent="0.35">
      <c r="A383" s="1"/>
      <c r="B383" s="12"/>
      <c r="C383" t="s">
        <v>25</v>
      </c>
      <c r="D383" s="6">
        <v>14.709205627441399</v>
      </c>
      <c r="E383">
        <v>12.07</v>
      </c>
      <c r="F383" s="3">
        <f t="shared" si="12"/>
        <v>2.6392056274413989</v>
      </c>
      <c r="G383" s="3">
        <f t="shared" si="13"/>
        <v>6.9654063439183478</v>
      </c>
    </row>
    <row r="384" spans="1:7" x14ac:dyDescent="0.35">
      <c r="B384" s="12" t="s">
        <v>57</v>
      </c>
      <c r="C384" t="s">
        <v>27</v>
      </c>
      <c r="D384" s="6">
        <v>29.1455898284912</v>
      </c>
      <c r="E384">
        <v>29.63</v>
      </c>
      <c r="F384" s="3">
        <f t="shared" si="12"/>
        <v>-0.48441017150879873</v>
      </c>
      <c r="G384" s="3">
        <f t="shared" si="13"/>
        <v>0.2346532142611838</v>
      </c>
    </row>
    <row r="385" spans="1:7" x14ac:dyDescent="0.35">
      <c r="B385" s="12"/>
      <c r="C385" t="s">
        <v>29</v>
      </c>
      <c r="D385" s="6">
        <v>29.586986541748001</v>
      </c>
      <c r="E385">
        <v>33.94</v>
      </c>
      <c r="F385" s="3">
        <f t="shared" si="12"/>
        <v>-4.353013458251997</v>
      </c>
      <c r="G385" s="3">
        <f t="shared" si="13"/>
        <v>18.948726167723009</v>
      </c>
    </row>
    <row r="386" spans="1:7" x14ac:dyDescent="0.35">
      <c r="B386" s="12"/>
      <c r="C386" t="s">
        <v>11</v>
      </c>
      <c r="D386" s="6">
        <v>24.961597442626999</v>
      </c>
      <c r="E386">
        <v>29.25</v>
      </c>
      <c r="F386" s="3">
        <f t="shared" si="12"/>
        <v>-4.2884025573730007</v>
      </c>
      <c r="G386" s="3">
        <f t="shared" si="13"/>
        <v>18.390396494083294</v>
      </c>
    </row>
    <row r="387" spans="1:7" x14ac:dyDescent="0.35">
      <c r="B387" s="12"/>
      <c r="C387" t="s">
        <v>13</v>
      </c>
      <c r="D387" s="6">
        <v>25.693353652954102</v>
      </c>
      <c r="E387">
        <v>23.94</v>
      </c>
      <c r="F387" s="3">
        <f t="shared" ref="F387:F450" si="14">D387-E387</f>
        <v>1.7533536529541003</v>
      </c>
      <c r="G387" s="3">
        <f t="shared" ref="G387:G450" si="15">F387^2</f>
        <v>3.0742490323274874</v>
      </c>
    </row>
    <row r="388" spans="1:7" x14ac:dyDescent="0.35">
      <c r="A388">
        <v>28</v>
      </c>
      <c r="B388" s="12"/>
      <c r="C388" t="s">
        <v>16</v>
      </c>
      <c r="D388" s="6">
        <v>28.687623977661101</v>
      </c>
      <c r="E388">
        <v>32.159999999999997</v>
      </c>
      <c r="F388" s="3">
        <f t="shared" si="14"/>
        <v>-3.4723760223388958</v>
      </c>
      <c r="G388" s="3">
        <f t="shared" si="15"/>
        <v>12.057395240514092</v>
      </c>
    </row>
    <row r="389" spans="1:7" x14ac:dyDescent="0.35">
      <c r="B389" s="12"/>
      <c r="C389" t="s">
        <v>19</v>
      </c>
      <c r="D389" s="6">
        <v>22.483201980590799</v>
      </c>
      <c r="E389">
        <v>22.26</v>
      </c>
      <c r="F389" s="3">
        <f t="shared" si="14"/>
        <v>0.22320198059079743</v>
      </c>
      <c r="G389" s="3">
        <f t="shared" si="15"/>
        <v>4.9819124139654711E-2</v>
      </c>
    </row>
    <row r="390" spans="1:7" x14ac:dyDescent="0.35">
      <c r="B390" s="12"/>
      <c r="C390" t="s">
        <v>20</v>
      </c>
      <c r="D390" s="6">
        <v>24.850339889526399</v>
      </c>
      <c r="E390">
        <v>25.77</v>
      </c>
      <c r="F390" s="3">
        <f t="shared" si="14"/>
        <v>-0.91966011047360041</v>
      </c>
      <c r="G390" s="3">
        <f t="shared" si="15"/>
        <v>0.84577471879631494</v>
      </c>
    </row>
    <row r="391" spans="1:7" x14ac:dyDescent="0.35">
      <c r="B391" s="12"/>
      <c r="C391" t="s">
        <v>21</v>
      </c>
      <c r="D391" s="6">
        <v>23.983903884887699</v>
      </c>
      <c r="E391">
        <v>25.12</v>
      </c>
      <c r="F391" s="3">
        <f t="shared" si="14"/>
        <v>-1.1360961151123021</v>
      </c>
      <c r="G391" s="3">
        <f t="shared" si="15"/>
        <v>1.2907143827732652</v>
      </c>
    </row>
    <row r="392" spans="1:7" x14ac:dyDescent="0.35">
      <c r="B392" s="12"/>
      <c r="C392" t="s">
        <v>23</v>
      </c>
      <c r="D392" s="6">
        <v>32.014503479003899</v>
      </c>
      <c r="E392">
        <v>35.46</v>
      </c>
      <c r="F392" s="3">
        <f t="shared" si="14"/>
        <v>-3.4454965209961017</v>
      </c>
      <c r="G392" s="3">
        <f t="shared" si="15"/>
        <v>11.87144627619624</v>
      </c>
    </row>
    <row r="393" spans="1:7" x14ac:dyDescent="0.35">
      <c r="A393" s="1"/>
      <c r="B393" s="12"/>
      <c r="C393" t="s">
        <v>24</v>
      </c>
      <c r="D393" s="6">
        <v>21.5687770843506</v>
      </c>
      <c r="E393">
        <v>26.22</v>
      </c>
      <c r="F393" s="3">
        <f t="shared" si="14"/>
        <v>-4.6512229156493987</v>
      </c>
      <c r="G393" s="3">
        <f t="shared" si="15"/>
        <v>21.633874611062094</v>
      </c>
    </row>
    <row r="394" spans="1:7" x14ac:dyDescent="0.35">
      <c r="A394">
        <v>29</v>
      </c>
      <c r="B394" s="7" t="s">
        <v>58</v>
      </c>
      <c r="C394" t="s">
        <v>25</v>
      </c>
      <c r="D394" s="6">
        <v>5.27545166015625</v>
      </c>
      <c r="E394">
        <v>6.01</v>
      </c>
      <c r="F394" s="3">
        <f t="shared" si="14"/>
        <v>-0.73454833984374979</v>
      </c>
      <c r="G394" s="3">
        <f t="shared" si="15"/>
        <v>0.5395612635672089</v>
      </c>
    </row>
    <row r="395" spans="1:7" x14ac:dyDescent="0.35">
      <c r="B395" s="12" t="s">
        <v>59</v>
      </c>
      <c r="C395" t="s">
        <v>11</v>
      </c>
      <c r="D395" s="6">
        <v>7.6003174781799299</v>
      </c>
      <c r="E395">
        <v>8.85</v>
      </c>
      <c r="F395" s="3">
        <f t="shared" si="14"/>
        <v>-1.2496825218200698</v>
      </c>
      <c r="G395" s="3">
        <f t="shared" si="15"/>
        <v>1.5617064053425691</v>
      </c>
    </row>
    <row r="396" spans="1:7" x14ac:dyDescent="0.35">
      <c r="B396" s="12"/>
      <c r="C396" t="s">
        <v>13</v>
      </c>
      <c r="D396" s="6">
        <v>8.3906126022338903</v>
      </c>
      <c r="E396">
        <v>11.08</v>
      </c>
      <c r="F396" s="3">
        <f t="shared" si="14"/>
        <v>-2.6893873977661098</v>
      </c>
      <c r="G396" s="3">
        <f t="shared" si="15"/>
        <v>7.2328045752631676</v>
      </c>
    </row>
    <row r="397" spans="1:7" x14ac:dyDescent="0.35">
      <c r="B397" s="12"/>
      <c r="C397" t="s">
        <v>14</v>
      </c>
      <c r="D397" s="6">
        <v>2.2102460861206099</v>
      </c>
      <c r="E397">
        <v>3.6799999999999997</v>
      </c>
      <c r="F397" s="3">
        <f t="shared" si="14"/>
        <v>-1.4697539138793898</v>
      </c>
      <c r="G397" s="3">
        <f t="shared" si="15"/>
        <v>2.1601765673637847</v>
      </c>
    </row>
    <row r="398" spans="1:7" x14ac:dyDescent="0.35">
      <c r="A398">
        <v>30</v>
      </c>
      <c r="B398" s="12"/>
      <c r="C398" t="s">
        <v>16</v>
      </c>
      <c r="D398" s="6">
        <v>3.0287299156189</v>
      </c>
      <c r="E398">
        <v>4.78</v>
      </c>
      <c r="F398" s="3">
        <f t="shared" si="14"/>
        <v>-1.7512700843811002</v>
      </c>
      <c r="G398" s="3">
        <f t="shared" si="15"/>
        <v>3.0669469084481857</v>
      </c>
    </row>
    <row r="399" spans="1:7" x14ac:dyDescent="0.35">
      <c r="B399" s="12"/>
      <c r="C399" t="s">
        <v>17</v>
      </c>
      <c r="D399" s="6">
        <v>1.9080952405929601</v>
      </c>
      <c r="E399">
        <v>2.8200000000000003</v>
      </c>
      <c r="F399" s="3">
        <f t="shared" si="14"/>
        <v>-0.91190475940704019</v>
      </c>
      <c r="G399" s="3">
        <f t="shared" si="15"/>
        <v>0.83157029022921181</v>
      </c>
    </row>
    <row r="400" spans="1:7" x14ac:dyDescent="0.35">
      <c r="B400" s="12"/>
      <c r="C400" t="s">
        <v>19</v>
      </c>
      <c r="D400" s="6">
        <v>9.4513435363769496</v>
      </c>
      <c r="E400">
        <v>12.15</v>
      </c>
      <c r="F400" s="3">
        <f t="shared" si="14"/>
        <v>-2.6986564636230508</v>
      </c>
      <c r="G400" s="3">
        <f t="shared" si="15"/>
        <v>7.2827467086544706</v>
      </c>
    </row>
    <row r="401" spans="1:7" x14ac:dyDescent="0.35">
      <c r="B401" s="12"/>
      <c r="C401" t="s">
        <v>20</v>
      </c>
      <c r="D401" s="6">
        <v>5.0286531448364302</v>
      </c>
      <c r="E401">
        <v>7.3599999999999994</v>
      </c>
      <c r="F401" s="3">
        <f t="shared" si="14"/>
        <v>-2.3313468551635692</v>
      </c>
      <c r="G401" s="3">
        <f t="shared" si="15"/>
        <v>5.4351781590810644</v>
      </c>
    </row>
    <row r="402" spans="1:7" x14ac:dyDescent="0.35">
      <c r="B402" s="12"/>
      <c r="C402" t="s">
        <v>21</v>
      </c>
      <c r="D402" s="6">
        <v>4.2818312644958496</v>
      </c>
      <c r="E402">
        <v>5.3800000000000008</v>
      </c>
      <c r="F402" s="3">
        <f t="shared" si="14"/>
        <v>-1.0981687355041512</v>
      </c>
      <c r="G402" s="3">
        <f t="shared" si="15"/>
        <v>1.2059745716387864</v>
      </c>
    </row>
    <row r="403" spans="1:7" x14ac:dyDescent="0.35">
      <c r="B403" s="12"/>
      <c r="C403" t="s">
        <v>22</v>
      </c>
      <c r="D403" s="6">
        <v>3.67012643814087</v>
      </c>
      <c r="E403">
        <v>4.3899999999999997</v>
      </c>
      <c r="F403" s="3">
        <f t="shared" si="14"/>
        <v>-0.71987356185912965</v>
      </c>
      <c r="G403" s="3">
        <f t="shared" si="15"/>
        <v>0.51821794506375018</v>
      </c>
    </row>
    <row r="404" spans="1:7" x14ac:dyDescent="0.35">
      <c r="B404" s="12"/>
      <c r="C404" t="s">
        <v>23</v>
      </c>
      <c r="D404" s="6">
        <v>3.3223969936370898</v>
      </c>
      <c r="E404">
        <v>4.45</v>
      </c>
      <c r="F404" s="3">
        <f t="shared" si="14"/>
        <v>-1.1276030063629103</v>
      </c>
      <c r="G404" s="3">
        <f t="shared" si="15"/>
        <v>1.2714885399586735</v>
      </c>
    </row>
    <row r="405" spans="1:7" x14ac:dyDescent="0.35">
      <c r="B405" s="12"/>
      <c r="C405" t="s">
        <v>24</v>
      </c>
      <c r="D405" s="6">
        <v>3.10292649269104</v>
      </c>
      <c r="E405">
        <v>5.03</v>
      </c>
      <c r="F405" s="3">
        <f t="shared" si="14"/>
        <v>-1.9270735073089602</v>
      </c>
      <c r="G405" s="3">
        <f t="shared" si="15"/>
        <v>3.7136123025720571</v>
      </c>
    </row>
    <row r="406" spans="1:7" x14ac:dyDescent="0.35">
      <c r="A406" s="1"/>
      <c r="B406" s="12"/>
      <c r="C406" t="s">
        <v>25</v>
      </c>
      <c r="D406" s="6">
        <v>14.829709053039601</v>
      </c>
      <c r="E406">
        <v>16.64</v>
      </c>
      <c r="F406" s="3">
        <f t="shared" si="14"/>
        <v>-1.8102909469604</v>
      </c>
      <c r="G406" s="3">
        <f t="shared" si="15"/>
        <v>3.277153312646782</v>
      </c>
    </row>
    <row r="407" spans="1:7" x14ac:dyDescent="0.35">
      <c r="B407" s="12" t="s">
        <v>60</v>
      </c>
      <c r="C407" t="s">
        <v>11</v>
      </c>
      <c r="D407" s="6">
        <v>3.1085188388824498</v>
      </c>
      <c r="E407">
        <v>4.6400000000000006</v>
      </c>
      <c r="F407" s="3">
        <f t="shared" si="14"/>
        <v>-1.5314811611175507</v>
      </c>
      <c r="G407" s="3">
        <f t="shared" si="15"/>
        <v>2.3454345468579612</v>
      </c>
    </row>
    <row r="408" spans="1:7" x14ac:dyDescent="0.35">
      <c r="B408" s="12"/>
      <c r="C408" t="s">
        <v>13</v>
      </c>
      <c r="D408" s="6">
        <v>2.1134305000305198</v>
      </c>
      <c r="E408">
        <v>3.42</v>
      </c>
      <c r="F408" s="3">
        <f t="shared" si="14"/>
        <v>-1.3065694999694801</v>
      </c>
      <c r="G408" s="3">
        <f t="shared" si="15"/>
        <v>1.7071238582504973</v>
      </c>
    </row>
    <row r="409" spans="1:7" x14ac:dyDescent="0.35">
      <c r="B409" s="12"/>
      <c r="C409" t="s">
        <v>14</v>
      </c>
      <c r="D409" s="6">
        <v>2.91533327102661</v>
      </c>
      <c r="E409">
        <v>3.9099999999999997</v>
      </c>
      <c r="F409" s="3">
        <f t="shared" si="14"/>
        <v>-0.9946667289733897</v>
      </c>
      <c r="G409" s="3">
        <f t="shared" si="15"/>
        <v>0.98936190172662264</v>
      </c>
    </row>
    <row r="410" spans="1:7" x14ac:dyDescent="0.35">
      <c r="B410" s="12"/>
      <c r="C410" t="s">
        <v>16</v>
      </c>
      <c r="D410" s="6">
        <v>3.4605119228363002</v>
      </c>
      <c r="E410">
        <v>4.9000000000000004</v>
      </c>
      <c r="F410" s="3">
        <f t="shared" si="14"/>
        <v>-1.4394880771637002</v>
      </c>
      <c r="G410" s="3">
        <f t="shared" si="15"/>
        <v>2.0721259242964467</v>
      </c>
    </row>
    <row r="411" spans="1:7" x14ac:dyDescent="0.35">
      <c r="A411">
        <v>31</v>
      </c>
      <c r="B411" s="12"/>
      <c r="C411" t="s">
        <v>17</v>
      </c>
      <c r="D411" s="6">
        <v>2.1765878200531001</v>
      </c>
      <c r="E411">
        <v>2.69</v>
      </c>
      <c r="F411" s="3">
        <f t="shared" si="14"/>
        <v>-0.5134121799468998</v>
      </c>
      <c r="G411" s="3">
        <f t="shared" si="15"/>
        <v>0.26359206651782785</v>
      </c>
    </row>
    <row r="412" spans="1:7" x14ac:dyDescent="0.35">
      <c r="B412" s="12"/>
      <c r="C412" t="s">
        <v>19</v>
      </c>
      <c r="D412" s="6">
        <v>2.5710477828979501</v>
      </c>
      <c r="E412">
        <v>4.12</v>
      </c>
      <c r="F412" s="3">
        <f t="shared" si="14"/>
        <v>-1.54895221710205</v>
      </c>
      <c r="G412" s="3">
        <f t="shared" si="15"/>
        <v>2.3992529708653563</v>
      </c>
    </row>
    <row r="413" spans="1:7" x14ac:dyDescent="0.35">
      <c r="B413" s="12"/>
      <c r="C413" t="s">
        <v>20</v>
      </c>
      <c r="D413" s="6">
        <v>5.1613750457763699</v>
      </c>
      <c r="E413">
        <v>5.08</v>
      </c>
      <c r="F413" s="3">
        <f t="shared" si="14"/>
        <v>8.1375045776369781E-2</v>
      </c>
      <c r="G413" s="3">
        <f t="shared" si="15"/>
        <v>6.6218980751062773E-3</v>
      </c>
    </row>
    <row r="414" spans="1:7" x14ac:dyDescent="0.35">
      <c r="B414" s="12"/>
      <c r="C414" t="s">
        <v>21</v>
      </c>
      <c r="D414" s="6">
        <v>3.32182836532593</v>
      </c>
      <c r="E414">
        <v>4.2300000000000004</v>
      </c>
      <c r="F414" s="3">
        <f t="shared" si="14"/>
        <v>-0.90817163467407047</v>
      </c>
      <c r="G414" s="3">
        <f t="shared" si="15"/>
        <v>0.82477571802657335</v>
      </c>
    </row>
    <row r="415" spans="1:7" x14ac:dyDescent="0.35">
      <c r="B415" s="12"/>
      <c r="C415" t="s">
        <v>22</v>
      </c>
      <c r="D415" s="6">
        <v>3.9009268283843999</v>
      </c>
      <c r="E415">
        <v>4.3600000000000003</v>
      </c>
      <c r="F415" s="3">
        <f t="shared" si="14"/>
        <v>-0.45907317161560046</v>
      </c>
      <c r="G415" s="3">
        <f t="shared" si="15"/>
        <v>0.21074817689720654</v>
      </c>
    </row>
    <row r="416" spans="1:7" x14ac:dyDescent="0.35">
      <c r="B416" s="12"/>
      <c r="C416" t="s">
        <v>23</v>
      </c>
      <c r="D416" s="6">
        <v>2.53601145744324</v>
      </c>
      <c r="E416">
        <v>3.79</v>
      </c>
      <c r="F416" s="3">
        <f t="shared" si="14"/>
        <v>-1.2539885425567601</v>
      </c>
      <c r="G416" s="3">
        <f t="shared" si="15"/>
        <v>1.5724872648636272</v>
      </c>
    </row>
    <row r="417" spans="1:7" x14ac:dyDescent="0.35">
      <c r="B417" s="12"/>
      <c r="C417" t="s">
        <v>24</v>
      </c>
      <c r="D417" s="6">
        <v>2.25711274147034</v>
      </c>
      <c r="E417">
        <v>2.4499999999999997</v>
      </c>
      <c r="F417" s="3">
        <f t="shared" si="14"/>
        <v>-0.19288725852965971</v>
      </c>
      <c r="G417" s="3">
        <f t="shared" si="15"/>
        <v>3.7205494503087785E-2</v>
      </c>
    </row>
    <row r="418" spans="1:7" x14ac:dyDescent="0.35">
      <c r="A418" s="1"/>
      <c r="B418" s="12"/>
      <c r="C418" t="s">
        <v>25</v>
      </c>
      <c r="D418" s="6">
        <v>8.5909538269043004</v>
      </c>
      <c r="E418">
        <v>8.66</v>
      </c>
      <c r="F418" s="3">
        <f t="shared" si="14"/>
        <v>-6.9046173095699714E-2</v>
      </c>
      <c r="G418" s="3">
        <f t="shared" si="15"/>
        <v>4.7673740191613275E-3</v>
      </c>
    </row>
    <row r="419" spans="1:7" x14ac:dyDescent="0.35">
      <c r="B419" s="7" t="s">
        <v>62</v>
      </c>
      <c r="C419" t="s">
        <v>27</v>
      </c>
      <c r="D419" s="3">
        <v>3.7233855724334699</v>
      </c>
      <c r="E419" s="3">
        <v>3.6745406824146984</v>
      </c>
      <c r="F419" s="3">
        <f t="shared" si="14"/>
        <v>4.8844890018771459E-2</v>
      </c>
      <c r="G419" s="3">
        <f t="shared" si="15"/>
        <v>2.3858232809458799E-3</v>
      </c>
    </row>
    <row r="420" spans="1:7" x14ac:dyDescent="0.35">
      <c r="B420" s="7"/>
      <c r="C420" t="s">
        <v>27</v>
      </c>
      <c r="D420" s="3">
        <v>5.72916555404663</v>
      </c>
      <c r="E420" s="3">
        <v>5.7414698162729652</v>
      </c>
      <c r="F420" s="3">
        <f t="shared" si="14"/>
        <v>-1.2304262226335183E-2</v>
      </c>
      <c r="G420" s="3">
        <f t="shared" si="15"/>
        <v>1.5139486893441884E-4</v>
      </c>
    </row>
    <row r="421" spans="1:7" x14ac:dyDescent="0.35">
      <c r="B421" s="7"/>
      <c r="C421" t="s">
        <v>27</v>
      </c>
      <c r="D421" s="3">
        <v>5.0082039833068901</v>
      </c>
      <c r="E421" s="3">
        <v>5.6430446194225716</v>
      </c>
      <c r="F421" s="3">
        <f t="shared" si="14"/>
        <v>-0.63484063611568153</v>
      </c>
      <c r="G421" s="3">
        <f t="shared" si="15"/>
        <v>0.4030226332637632</v>
      </c>
    </row>
    <row r="422" spans="1:7" x14ac:dyDescent="0.35">
      <c r="B422" s="7"/>
      <c r="C422" t="s">
        <v>27</v>
      </c>
      <c r="D422" s="3">
        <v>4.4980382919311497</v>
      </c>
      <c r="E422" s="3">
        <v>4.4947506561679793</v>
      </c>
      <c r="F422" s="3">
        <f t="shared" si="14"/>
        <v>3.2876357631703712E-3</v>
      </c>
      <c r="G422" s="3">
        <f t="shared" si="15"/>
        <v>1.080854891127683E-5</v>
      </c>
    </row>
    <row r="423" spans="1:7" x14ac:dyDescent="0.35">
      <c r="B423" s="7"/>
      <c r="C423" t="s">
        <v>27</v>
      </c>
      <c r="D423" s="3">
        <v>3.95935106277466</v>
      </c>
      <c r="E423" s="3">
        <v>3.4448818897637796</v>
      </c>
      <c r="F423" s="3">
        <f t="shared" si="14"/>
        <v>0.51446917301088035</v>
      </c>
      <c r="G423" s="3">
        <f t="shared" si="15"/>
        <v>0.26467852997849917</v>
      </c>
    </row>
    <row r="424" spans="1:7" x14ac:dyDescent="0.35">
      <c r="B424" s="7"/>
      <c r="C424" t="s">
        <v>27</v>
      </c>
      <c r="D424" s="3">
        <v>5.4652352333068901</v>
      </c>
      <c r="E424" s="3">
        <v>5.3477690288713902</v>
      </c>
      <c r="F424" s="3">
        <f t="shared" si="14"/>
        <v>0.11746620443549993</v>
      </c>
      <c r="G424" s="3">
        <f t="shared" si="15"/>
        <v>1.3798309184482663E-2</v>
      </c>
    </row>
    <row r="425" spans="1:7" x14ac:dyDescent="0.35">
      <c r="B425" s="7"/>
      <c r="C425" t="s">
        <v>27</v>
      </c>
      <c r="D425" s="3">
        <v>4.2184967994689897</v>
      </c>
      <c r="E425" s="3">
        <v>4.363517060367454</v>
      </c>
      <c r="F425" s="3">
        <f t="shared" si="14"/>
        <v>-0.14502026089846431</v>
      </c>
      <c r="G425" s="3">
        <f t="shared" si="15"/>
        <v>2.1030876071058659E-2</v>
      </c>
    </row>
    <row r="426" spans="1:7" x14ac:dyDescent="0.35">
      <c r="B426" s="7"/>
      <c r="C426" t="s">
        <v>27</v>
      </c>
      <c r="D426" s="3">
        <v>3.7128424644470202</v>
      </c>
      <c r="E426" s="3">
        <v>2.5918635170603674</v>
      </c>
      <c r="F426" s="3">
        <f t="shared" si="14"/>
        <v>1.1209789473866527</v>
      </c>
      <c r="G426" s="3">
        <f t="shared" si="15"/>
        <v>1.256593800484088</v>
      </c>
    </row>
    <row r="427" spans="1:7" x14ac:dyDescent="0.35">
      <c r="B427" s="7"/>
      <c r="C427" t="s">
        <v>27</v>
      </c>
      <c r="D427" s="3">
        <v>3.67661809921265</v>
      </c>
      <c r="E427" s="3">
        <v>3.8385826771653537</v>
      </c>
      <c r="F427" s="3">
        <f t="shared" si="14"/>
        <v>-0.16196457795270369</v>
      </c>
      <c r="G427" s="3">
        <f t="shared" si="15"/>
        <v>2.6232524511397431E-2</v>
      </c>
    </row>
    <row r="428" spans="1:7" x14ac:dyDescent="0.35">
      <c r="B428" s="7"/>
      <c r="C428" t="s">
        <v>27</v>
      </c>
      <c r="D428" s="3">
        <v>3.51528763771057</v>
      </c>
      <c r="E428" s="3">
        <v>2.1325459317585302</v>
      </c>
      <c r="F428" s="3">
        <f t="shared" si="14"/>
        <v>1.3827417059520397</v>
      </c>
      <c r="G428" s="3">
        <f t="shared" si="15"/>
        <v>1.911974625379157</v>
      </c>
    </row>
    <row r="429" spans="1:7" x14ac:dyDescent="0.35">
      <c r="B429" s="7"/>
      <c r="C429" t="s">
        <v>27</v>
      </c>
      <c r="D429" s="3">
        <v>3.7748730182647701</v>
      </c>
      <c r="E429" s="3">
        <v>2.7887139107611545</v>
      </c>
      <c r="F429" s="3">
        <f t="shared" si="14"/>
        <v>0.98615910750361557</v>
      </c>
      <c r="G429" s="3">
        <f t="shared" si="15"/>
        <v>0.97250978531232757</v>
      </c>
    </row>
    <row r="430" spans="1:7" x14ac:dyDescent="0.35">
      <c r="B430" s="7"/>
      <c r="C430" t="s">
        <v>27</v>
      </c>
      <c r="D430" s="3">
        <v>4.0807862281799299</v>
      </c>
      <c r="E430" s="3">
        <v>3.969816272965879</v>
      </c>
      <c r="F430" s="3">
        <f t="shared" si="14"/>
        <v>0.11096995521405084</v>
      </c>
      <c r="G430" s="3">
        <f t="shared" si="15"/>
        <v>1.2314330960208449E-2</v>
      </c>
    </row>
    <row r="431" spans="1:7" x14ac:dyDescent="0.35">
      <c r="B431" s="7"/>
      <c r="C431" t="s">
        <v>27</v>
      </c>
      <c r="D431" s="3">
        <v>3.3628726005554199</v>
      </c>
      <c r="E431" s="3">
        <v>2.8543307086614171</v>
      </c>
      <c r="F431" s="3">
        <f t="shared" si="14"/>
        <v>0.50854189189400278</v>
      </c>
      <c r="G431" s="3">
        <f t="shared" si="15"/>
        <v>0.25861485581113164</v>
      </c>
    </row>
    <row r="432" spans="1:7" x14ac:dyDescent="0.35">
      <c r="B432" s="7"/>
      <c r="C432" t="s">
        <v>27</v>
      </c>
      <c r="D432" s="3">
        <v>6.0650968551635698</v>
      </c>
      <c r="E432" s="3">
        <v>5.3805774278215219</v>
      </c>
      <c r="F432" s="3">
        <f t="shared" si="14"/>
        <v>0.68451942734204785</v>
      </c>
      <c r="G432" s="3">
        <f t="shared" si="15"/>
        <v>0.46856684640868512</v>
      </c>
    </row>
    <row r="433" spans="2:7" x14ac:dyDescent="0.35">
      <c r="B433" s="7"/>
      <c r="C433" t="s">
        <v>27</v>
      </c>
      <c r="D433" s="3">
        <v>4.0460782051086399</v>
      </c>
      <c r="E433" s="3">
        <v>4.0026246719160099</v>
      </c>
      <c r="F433" s="3">
        <f t="shared" si="14"/>
        <v>4.3453533192630012E-2</v>
      </c>
      <c r="G433" s="3">
        <f t="shared" si="15"/>
        <v>1.8882095469229983E-3</v>
      </c>
    </row>
    <row r="434" spans="2:7" x14ac:dyDescent="0.35">
      <c r="B434" s="7"/>
      <c r="C434" t="s">
        <v>27</v>
      </c>
      <c r="D434" s="3">
        <v>2.98954105377197</v>
      </c>
      <c r="E434" s="3">
        <v>2.001312335958005</v>
      </c>
      <c r="F434" s="3">
        <f t="shared" si="14"/>
        <v>0.98822871781396504</v>
      </c>
      <c r="G434" s="3">
        <f t="shared" si="15"/>
        <v>0.97659599871223335</v>
      </c>
    </row>
    <row r="435" spans="2:7" x14ac:dyDescent="0.35">
      <c r="B435" s="7"/>
      <c r="C435" t="s">
        <v>27</v>
      </c>
      <c r="D435" s="3">
        <v>3.56606197357178</v>
      </c>
      <c r="E435" s="3">
        <v>2.9527559055118111</v>
      </c>
      <c r="F435" s="3">
        <f t="shared" si="14"/>
        <v>0.6133060680599689</v>
      </c>
      <c r="G435" s="3">
        <f t="shared" si="15"/>
        <v>0.37614433311917922</v>
      </c>
    </row>
    <row r="436" spans="2:7" x14ac:dyDescent="0.35">
      <c r="B436" s="7"/>
      <c r="C436" t="s">
        <v>27</v>
      </c>
      <c r="D436" s="3">
        <v>3.2850718498229998</v>
      </c>
      <c r="E436" s="3">
        <v>3.6417322834645671</v>
      </c>
      <c r="F436" s="3">
        <f t="shared" si="14"/>
        <v>-0.3566604336415673</v>
      </c>
      <c r="G436" s="3">
        <f t="shared" si="15"/>
        <v>0.12720666492539082</v>
      </c>
    </row>
    <row r="437" spans="2:7" x14ac:dyDescent="0.35">
      <c r="B437" s="7"/>
      <c r="C437" t="s">
        <v>27</v>
      </c>
      <c r="D437" s="3">
        <v>6.0540742874145499</v>
      </c>
      <c r="E437" s="3">
        <v>5.577427821522309</v>
      </c>
      <c r="F437" s="3">
        <f t="shared" si="14"/>
        <v>0.47664646589224091</v>
      </c>
      <c r="G437" s="3">
        <f t="shared" si="15"/>
        <v>0.22719185344756318</v>
      </c>
    </row>
    <row r="438" spans="2:7" x14ac:dyDescent="0.35">
      <c r="B438" s="7"/>
      <c r="C438" t="s">
        <v>30</v>
      </c>
      <c r="D438" s="3">
        <v>9.6872138977050799</v>
      </c>
      <c r="E438" s="3">
        <v>10.14</v>
      </c>
      <c r="F438" s="3">
        <f t="shared" si="14"/>
        <v>-0.45278610229492067</v>
      </c>
      <c r="G438" s="3">
        <f t="shared" si="15"/>
        <v>0.20501525443142637</v>
      </c>
    </row>
    <row r="439" spans="2:7" x14ac:dyDescent="0.35">
      <c r="B439" s="7"/>
      <c r="C439" t="s">
        <v>30</v>
      </c>
      <c r="D439" s="3">
        <v>9.6946735382080096</v>
      </c>
      <c r="E439" s="3">
        <v>8.39</v>
      </c>
      <c r="F439" s="3">
        <f t="shared" si="14"/>
        <v>1.304673538208009</v>
      </c>
      <c r="G439" s="3">
        <f t="shared" si="15"/>
        <v>1.7021730413002052</v>
      </c>
    </row>
    <row r="440" spans="2:7" x14ac:dyDescent="0.35">
      <c r="B440" s="7"/>
      <c r="C440" t="s">
        <v>30</v>
      </c>
      <c r="D440" s="3">
        <v>6.6786556243896502</v>
      </c>
      <c r="E440" s="3">
        <v>6.45</v>
      </c>
      <c r="F440" s="3">
        <f t="shared" si="14"/>
        <v>0.22865562438965004</v>
      </c>
      <c r="G440" s="3">
        <f t="shared" si="15"/>
        <v>5.2283394565020722E-2</v>
      </c>
    </row>
    <row r="441" spans="2:7" x14ac:dyDescent="0.35">
      <c r="B441" s="7"/>
      <c r="C441" t="s">
        <v>30</v>
      </c>
      <c r="D441" s="3">
        <v>6.67747259140015</v>
      </c>
      <c r="E441" s="3">
        <v>6.53</v>
      </c>
      <c r="F441" s="3">
        <f t="shared" si="14"/>
        <v>0.14747259140014979</v>
      </c>
      <c r="G441" s="3">
        <f t="shared" si="15"/>
        <v>2.1748165214275535E-2</v>
      </c>
    </row>
    <row r="442" spans="2:7" x14ac:dyDescent="0.35">
      <c r="B442" s="7"/>
      <c r="C442" t="s">
        <v>30</v>
      </c>
      <c r="D442" s="3">
        <v>5.9534277915954599</v>
      </c>
      <c r="E442" s="3">
        <v>6.95</v>
      </c>
      <c r="F442" s="3">
        <f t="shared" si="14"/>
        <v>-0.99657220840454031</v>
      </c>
      <c r="G442" s="3">
        <f t="shared" si="15"/>
        <v>0.9931561665643025</v>
      </c>
    </row>
    <row r="443" spans="2:7" x14ac:dyDescent="0.35">
      <c r="B443" s="7"/>
      <c r="C443" t="s">
        <v>30</v>
      </c>
      <c r="D443" s="3">
        <v>9.7008914947509801</v>
      </c>
      <c r="E443" s="3">
        <v>7.71</v>
      </c>
      <c r="F443" s="3">
        <f t="shared" si="14"/>
        <v>1.9908914947509802</v>
      </c>
      <c r="G443" s="3">
        <f t="shared" si="15"/>
        <v>3.9636489438717919</v>
      </c>
    </row>
    <row r="444" spans="2:7" x14ac:dyDescent="0.35">
      <c r="B444" s="7"/>
      <c r="C444" t="s">
        <v>30</v>
      </c>
      <c r="D444" s="3">
        <v>6.2986431121826199</v>
      </c>
      <c r="E444" s="3">
        <v>5.64</v>
      </c>
      <c r="F444" s="3">
        <f t="shared" si="14"/>
        <v>0.65864311218262017</v>
      </c>
      <c r="G444" s="3">
        <f t="shared" si="15"/>
        <v>0.43381074922560758</v>
      </c>
    </row>
    <row r="445" spans="2:7" x14ac:dyDescent="0.35">
      <c r="B445" s="7"/>
      <c r="C445" t="s">
        <v>30</v>
      </c>
      <c r="D445" s="3">
        <v>6.79776906967163</v>
      </c>
      <c r="E445" s="3">
        <v>5.41</v>
      </c>
      <c r="F445" s="3">
        <f t="shared" si="14"/>
        <v>1.3877690696716298</v>
      </c>
      <c r="G445" s="3">
        <f t="shared" si="15"/>
        <v>1.9259029907372609</v>
      </c>
    </row>
    <row r="446" spans="2:7" x14ac:dyDescent="0.35">
      <c r="B446" s="7"/>
      <c r="C446" t="s">
        <v>30</v>
      </c>
      <c r="D446" s="3">
        <v>7.3585228919982901</v>
      </c>
      <c r="E446" s="3">
        <v>4.8899999999999997</v>
      </c>
      <c r="F446" s="3">
        <f t="shared" si="14"/>
        <v>2.4685228919982904</v>
      </c>
      <c r="G446" s="3">
        <f t="shared" si="15"/>
        <v>6.0936052683196031</v>
      </c>
    </row>
    <row r="447" spans="2:7" x14ac:dyDescent="0.35">
      <c r="B447" s="7"/>
      <c r="C447" t="s">
        <v>30</v>
      </c>
      <c r="D447" s="3">
        <v>7.6473846435546902</v>
      </c>
      <c r="E447" s="3">
        <v>5.6</v>
      </c>
      <c r="F447" s="3">
        <f t="shared" si="14"/>
        <v>2.0473846435546905</v>
      </c>
      <c r="G447" s="3">
        <f t="shared" si="15"/>
        <v>4.1917838786635668</v>
      </c>
    </row>
    <row r="448" spans="2:7" x14ac:dyDescent="0.35">
      <c r="B448" s="7"/>
      <c r="C448" t="s">
        <v>30</v>
      </c>
      <c r="D448" s="3">
        <v>7.3640232086181596</v>
      </c>
      <c r="E448" s="3">
        <v>3.63</v>
      </c>
      <c r="F448" s="3">
        <f t="shared" si="14"/>
        <v>3.7340232086181597</v>
      </c>
      <c r="G448" s="3">
        <f t="shared" si="15"/>
        <v>13.942929322499056</v>
      </c>
    </row>
    <row r="449" spans="2:7" x14ac:dyDescent="0.35">
      <c r="B449" s="7"/>
      <c r="C449" t="s">
        <v>30</v>
      </c>
      <c r="D449" s="3">
        <v>7.8464527130126998</v>
      </c>
      <c r="E449" s="3">
        <v>5.56</v>
      </c>
      <c r="F449" s="3">
        <f t="shared" si="14"/>
        <v>2.2864527130127001</v>
      </c>
      <c r="G449" s="3">
        <f t="shared" si="15"/>
        <v>5.2278660088431366</v>
      </c>
    </row>
    <row r="450" spans="2:7" x14ac:dyDescent="0.35">
      <c r="B450" s="7"/>
      <c r="C450" t="s">
        <v>30</v>
      </c>
      <c r="D450" s="3">
        <v>9.5174188613891602</v>
      </c>
      <c r="E450" s="3">
        <v>7.41</v>
      </c>
      <c r="F450" s="3">
        <f t="shared" si="14"/>
        <v>2.10741886138916</v>
      </c>
      <c r="G450" s="3">
        <f t="shared" si="15"/>
        <v>4.4412142573387836</v>
      </c>
    </row>
    <row r="451" spans="2:7" x14ac:dyDescent="0.35">
      <c r="B451" s="7"/>
      <c r="C451" t="s">
        <v>30</v>
      </c>
      <c r="D451" s="3">
        <v>7.9346795082092303</v>
      </c>
      <c r="E451" s="3">
        <v>5.45</v>
      </c>
      <c r="F451" s="3">
        <f t="shared" ref="F451:F495" si="16">D451-E451</f>
        <v>2.4846795082092301</v>
      </c>
      <c r="G451" s="3">
        <f t="shared" ref="G451:G495" si="17">F451^2</f>
        <v>6.1736322585148615</v>
      </c>
    </row>
    <row r="452" spans="2:7" x14ac:dyDescent="0.35">
      <c r="B452" s="7"/>
      <c r="C452" t="s">
        <v>30</v>
      </c>
      <c r="D452" s="3">
        <v>8.9559440612793004</v>
      </c>
      <c r="E452" s="3">
        <v>6.96</v>
      </c>
      <c r="F452" s="3">
        <f t="shared" si="16"/>
        <v>1.9959440612793005</v>
      </c>
      <c r="G452" s="3">
        <f t="shared" si="17"/>
        <v>3.9837926957561081</v>
      </c>
    </row>
    <row r="453" spans="2:7" x14ac:dyDescent="0.35">
      <c r="B453" s="7"/>
      <c r="C453" t="s">
        <v>30</v>
      </c>
      <c r="D453" s="3">
        <v>9.66754150390625</v>
      </c>
      <c r="E453" s="3">
        <v>5.75</v>
      </c>
      <c r="F453" s="3">
        <f t="shared" si="16"/>
        <v>3.91754150390625</v>
      </c>
      <c r="G453" s="3">
        <f t="shared" si="17"/>
        <v>15.347131434828043</v>
      </c>
    </row>
    <row r="454" spans="2:7" x14ac:dyDescent="0.35">
      <c r="B454" s="7"/>
      <c r="C454" t="s">
        <v>30</v>
      </c>
      <c r="D454" s="3">
        <v>9.6456165313720703</v>
      </c>
      <c r="E454" s="3">
        <v>7.18</v>
      </c>
      <c r="F454" s="3">
        <f t="shared" si="16"/>
        <v>2.4656165313720706</v>
      </c>
      <c r="G454" s="3">
        <f t="shared" si="17"/>
        <v>6.0792648797752404</v>
      </c>
    </row>
    <row r="455" spans="2:7" x14ac:dyDescent="0.35">
      <c r="B455" s="7"/>
      <c r="C455" t="s">
        <v>30</v>
      </c>
      <c r="D455" s="3">
        <v>8.9654216766357404</v>
      </c>
      <c r="E455" s="3">
        <v>6</v>
      </c>
      <c r="F455" s="3">
        <f t="shared" si="16"/>
        <v>2.9654216766357404</v>
      </c>
      <c r="G455" s="3">
        <f t="shared" si="17"/>
        <v>8.7937257202611256</v>
      </c>
    </row>
    <row r="456" spans="2:7" x14ac:dyDescent="0.35">
      <c r="B456" s="7"/>
      <c r="C456" t="s">
        <v>30</v>
      </c>
      <c r="D456" s="3">
        <v>8.0004119873046893</v>
      </c>
      <c r="E456" s="3">
        <v>5.08</v>
      </c>
      <c r="F456" s="3">
        <f t="shared" si="16"/>
        <v>2.9204119873046892</v>
      </c>
      <c r="G456" s="3">
        <f t="shared" si="17"/>
        <v>8.5288061755929245</v>
      </c>
    </row>
    <row r="457" spans="2:7" x14ac:dyDescent="0.35">
      <c r="B457" s="7"/>
      <c r="C457" t="s">
        <v>30</v>
      </c>
      <c r="D457" s="3">
        <v>8.0004119873046893</v>
      </c>
      <c r="E457" s="3">
        <v>5.52</v>
      </c>
      <c r="F457" s="3">
        <f t="shared" si="16"/>
        <v>2.4804119873046897</v>
      </c>
      <c r="G457" s="3">
        <f t="shared" si="17"/>
        <v>6.1524436267647999</v>
      </c>
    </row>
    <row r="458" spans="2:7" x14ac:dyDescent="0.35">
      <c r="B458" s="7"/>
      <c r="C458" t="s">
        <v>30</v>
      </c>
      <c r="D458" s="3">
        <v>8.3579778671264702</v>
      </c>
      <c r="E458" s="3">
        <v>6.44</v>
      </c>
      <c r="F458" s="3">
        <f t="shared" si="16"/>
        <v>1.9179778671264698</v>
      </c>
      <c r="G458" s="3">
        <f t="shared" si="17"/>
        <v>3.6786390987870021</v>
      </c>
    </row>
    <row r="459" spans="2:7" x14ac:dyDescent="0.35">
      <c r="B459" s="7"/>
      <c r="C459" t="s">
        <v>30</v>
      </c>
      <c r="D459" s="3">
        <v>8.1165866851806605</v>
      </c>
      <c r="E459" s="3">
        <v>6.18</v>
      </c>
      <c r="F459" s="3">
        <f t="shared" si="16"/>
        <v>1.9365866851806608</v>
      </c>
      <c r="G459" s="3">
        <f t="shared" si="17"/>
        <v>3.7503679892190198</v>
      </c>
    </row>
    <row r="460" spans="2:7" x14ac:dyDescent="0.35">
      <c r="B460" s="7"/>
      <c r="C460" t="s">
        <v>30</v>
      </c>
      <c r="D460" s="3">
        <v>10.573305130004901</v>
      </c>
      <c r="E460" s="3">
        <v>6.36</v>
      </c>
      <c r="F460" s="3">
        <f t="shared" si="16"/>
        <v>4.2133051300049003</v>
      </c>
      <c r="G460" s="3">
        <f t="shared" si="17"/>
        <v>17.75194011852561</v>
      </c>
    </row>
    <row r="461" spans="2:7" x14ac:dyDescent="0.35">
      <c r="B461" s="7"/>
      <c r="C461" t="s">
        <v>30</v>
      </c>
      <c r="D461" s="3">
        <v>10.674643516540501</v>
      </c>
      <c r="E461" s="3">
        <v>8.66</v>
      </c>
      <c r="F461" s="3">
        <f t="shared" si="16"/>
        <v>2.0146435165405006</v>
      </c>
      <c r="G461" s="3">
        <f t="shared" si="17"/>
        <v>4.0587884987386742</v>
      </c>
    </row>
    <row r="462" spans="2:7" x14ac:dyDescent="0.35">
      <c r="B462" s="7"/>
      <c r="C462" t="s">
        <v>30</v>
      </c>
      <c r="D462" s="3">
        <v>10.711098670959499</v>
      </c>
      <c r="E462" s="3">
        <v>8.77</v>
      </c>
      <c r="F462" s="3">
        <f t="shared" si="16"/>
        <v>1.9410986709594997</v>
      </c>
      <c r="G462" s="3">
        <f t="shared" si="17"/>
        <v>3.7678640504007364</v>
      </c>
    </row>
    <row r="463" spans="2:7" x14ac:dyDescent="0.35">
      <c r="B463" s="7"/>
      <c r="C463" t="s">
        <v>30</v>
      </c>
      <c r="D463" s="3">
        <v>10.729395866394</v>
      </c>
      <c r="E463" s="3">
        <v>8.8699999999999992</v>
      </c>
      <c r="F463" s="3">
        <f t="shared" si="16"/>
        <v>1.8593958663940011</v>
      </c>
      <c r="G463" s="3">
        <f t="shared" si="17"/>
        <v>3.4573529879630982</v>
      </c>
    </row>
    <row r="464" spans="2:7" x14ac:dyDescent="0.35">
      <c r="B464" s="7"/>
      <c r="C464" t="s">
        <v>8</v>
      </c>
      <c r="D464" s="3">
        <v>5.9937381744384801</v>
      </c>
      <c r="E464" s="3">
        <v>5.5200131233595799</v>
      </c>
      <c r="F464" s="3">
        <f t="shared" si="16"/>
        <v>0.47372505107890017</v>
      </c>
      <c r="G464" s="3">
        <f t="shared" si="17"/>
        <v>0.22441542401970657</v>
      </c>
    </row>
    <row r="465" spans="2:7" x14ac:dyDescent="0.35">
      <c r="B465" s="7"/>
      <c r="C465" t="s">
        <v>8</v>
      </c>
      <c r="D465" s="3">
        <v>7.00988864898682</v>
      </c>
      <c r="E465" s="3">
        <v>7.1522309711286089</v>
      </c>
      <c r="F465" s="3">
        <f t="shared" si="16"/>
        <v>-0.14234232214178899</v>
      </c>
      <c r="G465" s="3">
        <f t="shared" si="17"/>
        <v>2.0261336672716831E-2</v>
      </c>
    </row>
    <row r="466" spans="2:7" x14ac:dyDescent="0.35">
      <c r="B466" s="7"/>
      <c r="C466" t="s">
        <v>8</v>
      </c>
      <c r="D466" s="3">
        <v>4.24137687683106</v>
      </c>
      <c r="E466" s="3">
        <v>3.9041994750656164</v>
      </c>
      <c r="F466" s="3">
        <f t="shared" si="16"/>
        <v>0.33717740176544364</v>
      </c>
      <c r="G466" s="3">
        <f t="shared" si="17"/>
        <v>0.1136886002612954</v>
      </c>
    </row>
    <row r="467" spans="2:7" x14ac:dyDescent="0.35">
      <c r="B467" s="7"/>
      <c r="C467" t="s">
        <v>8</v>
      </c>
      <c r="D467" s="3">
        <v>7.00988864898682</v>
      </c>
      <c r="E467" s="3">
        <v>7.0866141732283463</v>
      </c>
      <c r="F467" s="3">
        <f t="shared" si="16"/>
        <v>-7.6725524241526344E-2</v>
      </c>
      <c r="G467" s="3">
        <f t="shared" si="17"/>
        <v>5.8868060701370468E-3</v>
      </c>
    </row>
    <row r="468" spans="2:7" x14ac:dyDescent="0.35">
      <c r="B468" s="7"/>
      <c r="C468" t="s">
        <v>8</v>
      </c>
      <c r="D468" s="3">
        <v>6.9594659805297896</v>
      </c>
      <c r="E468" s="3">
        <v>7.3162729658792642</v>
      </c>
      <c r="F468" s="3">
        <f t="shared" si="16"/>
        <v>-0.35680698534947464</v>
      </c>
      <c r="G468" s="3">
        <f t="shared" si="17"/>
        <v>0.12731122479418019</v>
      </c>
    </row>
    <row r="469" spans="2:7" x14ac:dyDescent="0.35">
      <c r="B469" s="7"/>
      <c r="C469" t="s">
        <v>8</v>
      </c>
      <c r="D469" s="3">
        <v>7.2202048301696804</v>
      </c>
      <c r="E469" s="3">
        <v>7.9068241469816272</v>
      </c>
      <c r="F469" s="3">
        <f t="shared" si="16"/>
        <v>-0.68661931681194677</v>
      </c>
      <c r="G469" s="3">
        <f t="shared" si="17"/>
        <v>0.47144608621930451</v>
      </c>
    </row>
    <row r="470" spans="2:7" x14ac:dyDescent="0.35">
      <c r="B470" s="7"/>
      <c r="C470" t="s">
        <v>8</v>
      </c>
      <c r="D470" s="3">
        <v>3.3189945220947301</v>
      </c>
      <c r="E470" s="3">
        <v>3.0839895013123355</v>
      </c>
      <c r="F470" s="3">
        <f t="shared" si="16"/>
        <v>0.2350050207823946</v>
      </c>
      <c r="G470" s="3">
        <f t="shared" si="17"/>
        <v>5.5227359792933722E-2</v>
      </c>
    </row>
    <row r="471" spans="2:7" x14ac:dyDescent="0.35">
      <c r="B471" s="7"/>
      <c r="C471" t="s">
        <v>8</v>
      </c>
      <c r="D471" s="3">
        <v>3.30728340148926</v>
      </c>
      <c r="E471" s="3">
        <v>2.7887139107611545</v>
      </c>
      <c r="F471" s="3">
        <f t="shared" si="16"/>
        <v>0.51856949072810554</v>
      </c>
      <c r="G471" s="3">
        <f t="shared" si="17"/>
        <v>0.26891431671400673</v>
      </c>
    </row>
    <row r="472" spans="2:7" x14ac:dyDescent="0.35">
      <c r="B472" s="7"/>
      <c r="C472" t="s">
        <v>8</v>
      </c>
      <c r="D472" s="3">
        <v>3.9617507457733199</v>
      </c>
      <c r="E472" s="3">
        <v>5.4133858267716528</v>
      </c>
      <c r="F472" s="3">
        <f t="shared" si="16"/>
        <v>-1.4516350809983329</v>
      </c>
      <c r="G472" s="3">
        <f t="shared" si="17"/>
        <v>2.1072444083850366</v>
      </c>
    </row>
    <row r="473" spans="2:7" x14ac:dyDescent="0.35">
      <c r="B473" s="7"/>
      <c r="C473" t="s">
        <v>8</v>
      </c>
      <c r="D473" s="3">
        <v>7.0028038024902299</v>
      </c>
      <c r="E473" s="3">
        <v>8.1036745406824142</v>
      </c>
      <c r="F473" s="3">
        <f t="shared" si="16"/>
        <v>-1.1008707381921843</v>
      </c>
      <c r="G473" s="3">
        <f t="shared" si="17"/>
        <v>1.2119163822078047</v>
      </c>
    </row>
    <row r="474" spans="2:7" x14ac:dyDescent="0.35">
      <c r="B474" s="7"/>
      <c r="C474" t="s">
        <v>8</v>
      </c>
      <c r="D474" s="3">
        <v>7.0861783027648899</v>
      </c>
      <c r="E474" s="3">
        <v>7.8083989501312328</v>
      </c>
      <c r="F474" s="3">
        <f t="shared" si="16"/>
        <v>-0.72222064736634284</v>
      </c>
      <c r="G474" s="3">
        <f t="shared" si="17"/>
        <v>0.52160266348225937</v>
      </c>
    </row>
    <row r="475" spans="2:7" x14ac:dyDescent="0.35">
      <c r="B475" s="7"/>
      <c r="C475" t="s">
        <v>8</v>
      </c>
      <c r="D475" s="3">
        <v>7.1792311668395996</v>
      </c>
      <c r="E475" s="3">
        <v>7.6115485564304457</v>
      </c>
      <c r="F475" s="3">
        <f t="shared" si="16"/>
        <v>-0.43231738959084609</v>
      </c>
      <c r="G475" s="3">
        <f t="shared" si="17"/>
        <v>0.18689832534264339</v>
      </c>
    </row>
    <row r="476" spans="2:7" x14ac:dyDescent="0.35">
      <c r="B476" s="7"/>
      <c r="C476" t="s">
        <v>8</v>
      </c>
      <c r="D476" s="3">
        <v>7.0784811973571804</v>
      </c>
      <c r="E476" s="3">
        <v>7.6115485564304457</v>
      </c>
      <c r="F476" s="3">
        <f t="shared" si="16"/>
        <v>-0.5330673590732653</v>
      </c>
      <c r="G476" s="3">
        <f t="shared" si="17"/>
        <v>0.28416080930934556</v>
      </c>
    </row>
    <row r="477" spans="2:7" x14ac:dyDescent="0.35">
      <c r="B477" s="7"/>
      <c r="C477" t="s">
        <v>8</v>
      </c>
      <c r="D477" s="3">
        <v>3.3189945220947301</v>
      </c>
      <c r="E477" s="3">
        <v>3.0839895013123355</v>
      </c>
      <c r="F477" s="3">
        <f t="shared" si="16"/>
        <v>0.2350050207823946</v>
      </c>
      <c r="G477" s="3">
        <f t="shared" si="17"/>
        <v>5.5227359792933722E-2</v>
      </c>
    </row>
    <row r="478" spans="2:7" x14ac:dyDescent="0.35">
      <c r="B478" s="7"/>
      <c r="C478" t="s">
        <v>8</v>
      </c>
      <c r="D478" s="3">
        <v>5.0759534835815403</v>
      </c>
      <c r="E478" s="3">
        <v>6.0039370078740157</v>
      </c>
      <c r="F478" s="3">
        <f t="shared" si="16"/>
        <v>-0.92798352429247544</v>
      </c>
      <c r="G478" s="3">
        <f t="shared" si="17"/>
        <v>0.86115342135828332</v>
      </c>
    </row>
    <row r="479" spans="2:7" x14ac:dyDescent="0.35">
      <c r="B479" s="7"/>
      <c r="C479" t="s">
        <v>8</v>
      </c>
      <c r="D479" s="3">
        <v>6.6534771919250497</v>
      </c>
      <c r="E479" s="3">
        <v>5.6102362204724407</v>
      </c>
      <c r="F479" s="3">
        <f t="shared" si="16"/>
        <v>1.043240971452609</v>
      </c>
      <c r="G479" s="3">
        <f t="shared" si="17"/>
        <v>1.0883517245173833</v>
      </c>
    </row>
    <row r="480" spans="2:7" x14ac:dyDescent="0.35">
      <c r="B480" s="7"/>
      <c r="C480" t="s">
        <v>8</v>
      </c>
      <c r="D480" s="3">
        <v>6.5323867797851598</v>
      </c>
      <c r="E480" s="3">
        <v>3.9041994750656164</v>
      </c>
      <c r="F480" s="3">
        <f t="shared" si="16"/>
        <v>2.6281873047195434</v>
      </c>
      <c r="G480" s="3">
        <f t="shared" si="17"/>
        <v>6.907368508688978</v>
      </c>
    </row>
    <row r="481" spans="2:7" x14ac:dyDescent="0.35">
      <c r="B481" s="7"/>
      <c r="C481" t="s">
        <v>8</v>
      </c>
      <c r="D481" s="3">
        <v>7.2512969970703098</v>
      </c>
      <c r="E481" s="3">
        <v>6.8897637795275593</v>
      </c>
      <c r="F481" s="3">
        <f t="shared" si="16"/>
        <v>0.36153321754275058</v>
      </c>
      <c r="G481" s="3">
        <f t="shared" si="17"/>
        <v>0.13070626738681382</v>
      </c>
    </row>
    <row r="482" spans="2:7" x14ac:dyDescent="0.35">
      <c r="B482" s="7"/>
      <c r="C482" t="s">
        <v>8</v>
      </c>
      <c r="D482" s="3">
        <v>7.0861783027648899</v>
      </c>
      <c r="E482" s="3">
        <v>7.8083989501312328</v>
      </c>
      <c r="F482" s="3">
        <f t="shared" si="16"/>
        <v>-0.72222064736634284</v>
      </c>
      <c r="G482" s="3">
        <f t="shared" si="17"/>
        <v>0.52160266348225937</v>
      </c>
    </row>
    <row r="483" spans="2:7" x14ac:dyDescent="0.35">
      <c r="B483" s="7"/>
      <c r="C483" t="s">
        <v>8</v>
      </c>
      <c r="D483" s="3">
        <v>7.4058141708373997</v>
      </c>
      <c r="E483" s="3">
        <v>7.8083989501312328</v>
      </c>
      <c r="F483" s="3">
        <f t="shared" si="16"/>
        <v>-0.40258477929383307</v>
      </c>
      <c r="G483" s="3">
        <f t="shared" si="17"/>
        <v>0.1620745045190643</v>
      </c>
    </row>
    <row r="484" spans="2:7" x14ac:dyDescent="0.35">
      <c r="B484" s="7"/>
      <c r="C484" t="s">
        <v>8</v>
      </c>
      <c r="D484" s="3">
        <v>6.9931893348693901</v>
      </c>
      <c r="E484" s="3">
        <v>7.8083989501312328</v>
      </c>
      <c r="F484" s="3">
        <f t="shared" si="16"/>
        <v>-0.81520961526184266</v>
      </c>
      <c r="G484" s="3">
        <f t="shared" si="17"/>
        <v>0.6645667168153615</v>
      </c>
    </row>
    <row r="485" spans="2:7" x14ac:dyDescent="0.35">
      <c r="B485" s="7"/>
      <c r="C485" t="s">
        <v>8</v>
      </c>
      <c r="D485" s="3">
        <v>7.18878126144409</v>
      </c>
      <c r="E485" s="3">
        <v>8.0052493438320198</v>
      </c>
      <c r="F485" s="3">
        <f t="shared" si="16"/>
        <v>-0.81646808238792978</v>
      </c>
      <c r="G485" s="3">
        <f t="shared" si="17"/>
        <v>0.66662012955822325</v>
      </c>
    </row>
    <row r="486" spans="2:7" x14ac:dyDescent="0.35">
      <c r="B486" s="7"/>
      <c r="C486" t="s">
        <v>8</v>
      </c>
      <c r="D486" s="3">
        <v>7.2060003280639702</v>
      </c>
      <c r="E486" s="3">
        <v>7.5131233595800522</v>
      </c>
      <c r="F486" s="3">
        <f t="shared" si="16"/>
        <v>-0.307123031516082</v>
      </c>
      <c r="G486" s="3">
        <f t="shared" si="17"/>
        <v>9.4324556487628303E-2</v>
      </c>
    </row>
    <row r="487" spans="2:7" x14ac:dyDescent="0.35">
      <c r="B487" s="7"/>
      <c r="C487" t="s">
        <v>8</v>
      </c>
      <c r="D487" s="3">
        <v>7.1792311668395996</v>
      </c>
      <c r="E487" s="3">
        <v>7.6115485564304457</v>
      </c>
      <c r="F487" s="3">
        <f t="shared" si="16"/>
        <v>-0.43231738959084609</v>
      </c>
      <c r="G487" s="3">
        <f t="shared" si="17"/>
        <v>0.18689832534264339</v>
      </c>
    </row>
    <row r="488" spans="2:7" x14ac:dyDescent="0.35">
      <c r="B488" s="7"/>
      <c r="C488" t="s">
        <v>8</v>
      </c>
      <c r="D488" s="3">
        <v>7.1906485557556197</v>
      </c>
      <c r="E488" s="3">
        <v>7.5131233595800522</v>
      </c>
      <c r="F488" s="3">
        <f t="shared" si="16"/>
        <v>-0.3224748038244325</v>
      </c>
      <c r="G488" s="3">
        <f t="shared" si="17"/>
        <v>0.10398999910160622</v>
      </c>
    </row>
    <row r="489" spans="2:7" x14ac:dyDescent="0.35">
      <c r="B489" s="7"/>
      <c r="C489" t="s">
        <v>8</v>
      </c>
      <c r="D489" s="3">
        <v>7.1651611328125</v>
      </c>
      <c r="E489" s="3">
        <v>7.6115485564304457</v>
      </c>
      <c r="F489" s="3">
        <f t="shared" si="16"/>
        <v>-0.4463874236179457</v>
      </c>
      <c r="G489" s="3">
        <f t="shared" si="17"/>
        <v>0.1992617319642673</v>
      </c>
    </row>
    <row r="490" spans="2:7" x14ac:dyDescent="0.35">
      <c r="B490" s="7"/>
      <c r="C490" t="s">
        <v>8</v>
      </c>
      <c r="D490" s="3">
        <v>7.18349266052246</v>
      </c>
      <c r="E490" s="3">
        <v>7.7099737532808401</v>
      </c>
      <c r="F490" s="3">
        <f t="shared" si="16"/>
        <v>-0.52648109275838006</v>
      </c>
      <c r="G490" s="3">
        <f t="shared" si="17"/>
        <v>0.27718234103205802</v>
      </c>
    </row>
    <row r="491" spans="2:7" x14ac:dyDescent="0.35">
      <c r="B491" s="7"/>
      <c r="C491" t="s">
        <v>8</v>
      </c>
      <c r="D491" s="3">
        <v>7.2202048301696804</v>
      </c>
      <c r="E491" s="3">
        <v>7.9068241469816272</v>
      </c>
      <c r="F491" s="3">
        <f t="shared" si="16"/>
        <v>-0.68661931681194677</v>
      </c>
      <c r="G491" s="3">
        <f t="shared" si="17"/>
        <v>0.47144608621930451</v>
      </c>
    </row>
    <row r="492" spans="2:7" x14ac:dyDescent="0.35">
      <c r="B492" s="7"/>
      <c r="C492" t="s">
        <v>8</v>
      </c>
      <c r="D492" s="3">
        <v>7.0928306579589799</v>
      </c>
      <c r="E492" s="3">
        <v>7.9068241469816272</v>
      </c>
      <c r="F492" s="3">
        <f t="shared" si="16"/>
        <v>-0.81399348902264723</v>
      </c>
      <c r="G492" s="3">
        <f t="shared" si="17"/>
        <v>0.66258540017126255</v>
      </c>
    </row>
    <row r="493" spans="2:7" x14ac:dyDescent="0.35">
      <c r="B493" s="7"/>
      <c r="C493" t="s">
        <v>8</v>
      </c>
      <c r="D493" s="3">
        <v>7.35998487472534</v>
      </c>
      <c r="E493" s="3">
        <v>8.1036745406824142</v>
      </c>
      <c r="F493" s="3">
        <f t="shared" si="16"/>
        <v>-0.7436896659570742</v>
      </c>
      <c r="G493" s="3">
        <f t="shared" si="17"/>
        <v>0.55307431925134465</v>
      </c>
    </row>
    <row r="494" spans="2:7" x14ac:dyDescent="0.35">
      <c r="B494" s="7"/>
      <c r="C494" t="s">
        <v>8</v>
      </c>
      <c r="D494" s="3">
        <v>7.3204021453857404</v>
      </c>
      <c r="E494" s="3">
        <v>8.7926509186351716</v>
      </c>
      <c r="F494" s="3">
        <f t="shared" si="16"/>
        <v>-1.4722487732494312</v>
      </c>
      <c r="G494" s="3">
        <f t="shared" si="17"/>
        <v>2.1675164503344551</v>
      </c>
    </row>
    <row r="495" spans="2:7" x14ac:dyDescent="0.35">
      <c r="B495" s="7"/>
      <c r="C495" t="s">
        <v>8</v>
      </c>
      <c r="D495" s="3">
        <v>7.2156910896301296</v>
      </c>
      <c r="E495" s="3">
        <v>6.7913385826771648</v>
      </c>
      <c r="F495" s="3">
        <f t="shared" si="16"/>
        <v>0.42435250695296478</v>
      </c>
      <c r="G495" s="3">
        <f t="shared" si="17"/>
        <v>0.18007505015726602</v>
      </c>
    </row>
    <row r="496" spans="2:7" x14ac:dyDescent="0.35">
      <c r="B496" s="7"/>
    </row>
    <row r="497" spans="2:2" x14ac:dyDescent="0.35">
      <c r="B497" s="7"/>
    </row>
  </sheetData>
  <mergeCells count="26">
    <mergeCell ref="B71:B83"/>
    <mergeCell ref="B2:B13"/>
    <mergeCell ref="B14:B29"/>
    <mergeCell ref="B30:B38"/>
    <mergeCell ref="B39:B54"/>
    <mergeCell ref="B55:B70"/>
    <mergeCell ref="B259:B273"/>
    <mergeCell ref="B84:B99"/>
    <mergeCell ref="B100:B115"/>
    <mergeCell ref="B116:B131"/>
    <mergeCell ref="B132:B147"/>
    <mergeCell ref="B148:B153"/>
    <mergeCell ref="B154:B169"/>
    <mergeCell ref="B170:B181"/>
    <mergeCell ref="B198:B213"/>
    <mergeCell ref="B214:B228"/>
    <mergeCell ref="B229:B243"/>
    <mergeCell ref="B244:B258"/>
    <mergeCell ref="B395:B406"/>
    <mergeCell ref="B407:B418"/>
    <mergeCell ref="B274:B282"/>
    <mergeCell ref="B283:B297"/>
    <mergeCell ref="B298:B312"/>
    <mergeCell ref="B358:B371"/>
    <mergeCell ref="B372:B383"/>
    <mergeCell ref="B384:B39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ff25c0-d9ca-4836-88d1-f62f7edee313" xsi:nil="true"/>
    <lcf76f155ced4ddcb4097134ff3c332f xmlns="8b943536-786b-45fc-b977-8420b7262c7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F38236A80B24987EEB0C31F41B009" ma:contentTypeVersion="15" ma:contentTypeDescription="Create a new document." ma:contentTypeScope="" ma:versionID="874e563a8960640aec2f65081d03c841">
  <xsd:schema xmlns:xsd="http://www.w3.org/2001/XMLSchema" xmlns:xs="http://www.w3.org/2001/XMLSchema" xmlns:p="http://schemas.microsoft.com/office/2006/metadata/properties" xmlns:ns2="8b943536-786b-45fc-b977-8420b7262c7c" xmlns:ns3="79ff25c0-d9ca-4836-88d1-f62f7edee313" targetNamespace="http://schemas.microsoft.com/office/2006/metadata/properties" ma:root="true" ma:fieldsID="7b8c92ccaca741ab10c3a80819cce98c" ns2:_="" ns3:_="">
    <xsd:import namespace="8b943536-786b-45fc-b977-8420b7262c7c"/>
    <xsd:import namespace="79ff25c0-d9ca-4836-88d1-f62f7edee3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3536-786b-45fc-b977-8420b7262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31230-c580-4f22-b116-8b6cae3b92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f25c0-d9ca-4836-88d1-f62f7edee3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97640b3-e96b-42a9-ab34-99f92bfe11af}" ma:internalName="TaxCatchAll" ma:showField="CatchAllData" ma:web="79ff25c0-d9ca-4836-88d1-f62f7edee3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BEA551-2C4A-4B12-B0EB-47F14D4B1C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775579-333F-4ABB-8BE7-23CC116E4426}">
  <ds:schemaRefs>
    <ds:schemaRef ds:uri="http://schemas.microsoft.com/office/2006/metadata/properties"/>
    <ds:schemaRef ds:uri="http://schemas.microsoft.com/office/infopath/2007/PartnerControls"/>
    <ds:schemaRef ds:uri="79ff25c0-d9ca-4836-88d1-f62f7edee313"/>
    <ds:schemaRef ds:uri="8b943536-786b-45fc-b977-8420b7262c7c"/>
  </ds:schemaRefs>
</ds:datastoreItem>
</file>

<file path=customXml/itemProps3.xml><?xml version="1.0" encoding="utf-8"?>
<ds:datastoreItem xmlns:ds="http://schemas.openxmlformats.org/officeDocument/2006/customXml" ds:itemID="{49A001E0-FF87-4054-B966-1BA76AD2A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943536-786b-45fc-b977-8420b7262c7c"/>
    <ds:schemaRef ds:uri="79ff25c0-d9ca-4836-88d1-f62f7edee3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GageUnc</vt:lpstr>
      <vt:lpstr>Plot</vt:lpstr>
      <vt:lpstr>HWMsUnc</vt:lpstr>
      <vt:lpstr>Combined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Angshuman Saharia</dc:creator>
  <cp:keywords/>
  <dc:description/>
  <cp:lastModifiedBy>Angshuman Saharia</cp:lastModifiedBy>
  <cp:revision/>
  <dcterms:created xsi:type="dcterms:W3CDTF">2023-01-09T17:52:16Z</dcterms:created>
  <dcterms:modified xsi:type="dcterms:W3CDTF">2023-02-17T21:02:34Z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0x01010051FF38236A80B24987EEB0C31F41B009</vt:lpwstr>
  </property>
</Properties>
</file>